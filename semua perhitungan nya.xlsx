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ocuments\semester 6\SISTEM PENUNJANG KEPUTUSAN\"/>
    </mc:Choice>
  </mc:AlternateContent>
  <xr:revisionPtr revIDLastSave="0" documentId="13_ncr:1_{F84F567F-7E85-4371-A67B-FC58A5C24ABE}" xr6:coauthVersionLast="45" xr6:coauthVersionMax="45" xr10:uidLastSave="{00000000-0000-0000-0000-000000000000}"/>
  <bookViews>
    <workbookView xWindow="-120" yWindow="-120" windowWidth="20730" windowHeight="11760" activeTab="1" xr2:uid="{11210EA5-22BA-40AD-AF60-6760F60645E8}"/>
  </bookViews>
  <sheets>
    <sheet name="full perhitungan " sheetId="1" r:id="rId1"/>
    <sheet name="Sheet1" sheetId="6" r:id="rId2"/>
    <sheet name="Normalisasi" sheetId="5" r:id="rId3"/>
    <sheet name="Skor Akhir " sheetId="3" r:id="rId4"/>
    <sheet name="Rangking " sheetId="4" r:id="rId5"/>
  </sheets>
  <definedNames>
    <definedName name="_Hlk227496846" localSheetId="4">'Rangking 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1" i="6" l="1"/>
  <c r="C22" i="6"/>
  <c r="C23" i="6"/>
  <c r="C24" i="6"/>
  <c r="C25" i="6"/>
  <c r="O15" i="6"/>
  <c r="O16" i="6"/>
  <c r="O17" i="6"/>
  <c r="O18" i="6"/>
  <c r="O14" i="6"/>
  <c r="N18" i="6"/>
  <c r="M18" i="6"/>
  <c r="L18" i="6"/>
  <c r="K18" i="6"/>
  <c r="N17" i="6"/>
  <c r="M17" i="6"/>
  <c r="L17" i="6"/>
  <c r="K17" i="6"/>
  <c r="N16" i="6"/>
  <c r="M16" i="6"/>
  <c r="L16" i="6"/>
  <c r="K16" i="6"/>
  <c r="N15" i="6"/>
  <c r="M15" i="6"/>
  <c r="L15" i="6"/>
  <c r="K15" i="6"/>
  <c r="N14" i="6"/>
  <c r="M14" i="6"/>
  <c r="L14" i="6"/>
  <c r="K14" i="6"/>
  <c r="N9" i="6"/>
  <c r="N10" i="6"/>
  <c r="N11" i="6"/>
  <c r="N12" i="6"/>
  <c r="N8" i="6"/>
  <c r="M9" i="6"/>
  <c r="M10" i="6"/>
  <c r="M11" i="6"/>
  <c r="M12" i="6"/>
  <c r="M8" i="6"/>
  <c r="L9" i="6"/>
  <c r="L10" i="6"/>
  <c r="L11" i="6"/>
  <c r="L12" i="6"/>
  <c r="L8" i="6"/>
  <c r="K9" i="6"/>
  <c r="K10" i="6"/>
  <c r="K11" i="6"/>
  <c r="K12" i="6"/>
  <c r="K8" i="6"/>
  <c r="J2" i="6"/>
  <c r="J3" i="6"/>
  <c r="J4" i="6"/>
  <c r="J5" i="6"/>
  <c r="J1" i="6"/>
  <c r="I2" i="6"/>
  <c r="I3" i="6"/>
  <c r="I4" i="6"/>
  <c r="I5" i="6"/>
  <c r="I1" i="6"/>
  <c r="H2" i="6"/>
  <c r="H3" i="6"/>
  <c r="H4" i="6"/>
  <c r="H5" i="6"/>
  <c r="H1" i="6"/>
  <c r="G2" i="6"/>
  <c r="G3" i="6"/>
  <c r="G4" i="6"/>
  <c r="G5" i="6"/>
  <c r="G1" i="6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L3" i="1" l="1"/>
  <c r="Q3" i="1" s="1"/>
  <c r="L4" i="1"/>
  <c r="Q4" i="1" s="1"/>
  <c r="L5" i="1"/>
  <c r="Q5" i="1" s="1"/>
  <c r="L6" i="1"/>
  <c r="Q6" i="1" s="1"/>
  <c r="L7" i="1"/>
  <c r="Q7" i="1" s="1"/>
  <c r="L8" i="1"/>
  <c r="Q8" i="1" s="1"/>
  <c r="L9" i="1"/>
  <c r="Q9" i="1" s="1"/>
  <c r="L10" i="1"/>
  <c r="Q10" i="1" s="1"/>
  <c r="L11" i="1"/>
  <c r="Q11" i="1" s="1"/>
  <c r="L12" i="1"/>
  <c r="Q12" i="1" s="1"/>
  <c r="L13" i="1"/>
  <c r="Q13" i="1" s="1"/>
  <c r="L14" i="1"/>
  <c r="Q14" i="1" s="1"/>
  <c r="L15" i="1"/>
  <c r="Q15" i="1" s="1"/>
  <c r="L16" i="1"/>
  <c r="Q16" i="1" s="1"/>
  <c r="L17" i="1"/>
  <c r="Q17" i="1" s="1"/>
  <c r="L18" i="1"/>
  <c r="Q18" i="1" s="1"/>
  <c r="L19" i="1"/>
  <c r="Q19" i="1" s="1"/>
  <c r="L20" i="1"/>
  <c r="Q20" i="1" s="1"/>
  <c r="L21" i="1"/>
  <c r="Q21" i="1" s="1"/>
  <c r="L22" i="1"/>
  <c r="Q22" i="1" s="1"/>
  <c r="L23" i="1"/>
  <c r="Q23" i="1" s="1"/>
  <c r="L24" i="1"/>
  <c r="Q24" i="1" s="1"/>
  <c r="L25" i="1"/>
  <c r="Q25" i="1" s="1"/>
  <c r="L26" i="1"/>
  <c r="Q26" i="1" s="1"/>
  <c r="L27" i="1"/>
  <c r="Q27" i="1" s="1"/>
  <c r="L28" i="1"/>
  <c r="Q28" i="1" s="1"/>
  <c r="L29" i="1"/>
  <c r="Q29" i="1" s="1"/>
  <c r="L30" i="1"/>
  <c r="Q30" i="1" s="1"/>
  <c r="L31" i="1"/>
  <c r="Q31" i="1" s="1"/>
  <c r="L32" i="1"/>
  <c r="Q32" i="1" s="1"/>
  <c r="L33" i="1"/>
  <c r="Q33" i="1" s="1"/>
  <c r="L34" i="1"/>
  <c r="Q34" i="1" s="1"/>
  <c r="L35" i="1"/>
  <c r="Q35" i="1" s="1"/>
  <c r="L36" i="1"/>
  <c r="Q36" i="1" s="1"/>
  <c r="L37" i="1"/>
  <c r="Q37" i="1" s="1"/>
  <c r="L38" i="1"/>
  <c r="Q38" i="1" s="1"/>
  <c r="L39" i="1"/>
  <c r="Q39" i="1" s="1"/>
  <c r="L40" i="1"/>
  <c r="Q40" i="1" s="1"/>
  <c r="L41" i="1"/>
  <c r="Q41" i="1" s="1"/>
  <c r="L2" i="1"/>
  <c r="Q2" i="1" s="1"/>
  <c r="K3" i="1"/>
  <c r="P3" i="1" s="1"/>
  <c r="K4" i="1"/>
  <c r="P4" i="1" s="1"/>
  <c r="K5" i="1"/>
  <c r="P5" i="1" s="1"/>
  <c r="K6" i="1"/>
  <c r="P6" i="1" s="1"/>
  <c r="K7" i="1"/>
  <c r="P7" i="1" s="1"/>
  <c r="K8" i="1"/>
  <c r="P8" i="1" s="1"/>
  <c r="K9" i="1"/>
  <c r="P9" i="1" s="1"/>
  <c r="K10" i="1"/>
  <c r="P10" i="1" s="1"/>
  <c r="K11" i="1"/>
  <c r="P11" i="1" s="1"/>
  <c r="K12" i="1"/>
  <c r="P12" i="1" s="1"/>
  <c r="K13" i="1"/>
  <c r="P13" i="1" s="1"/>
  <c r="K14" i="1"/>
  <c r="P14" i="1" s="1"/>
  <c r="K15" i="1"/>
  <c r="P15" i="1" s="1"/>
  <c r="K16" i="1"/>
  <c r="P16" i="1" s="1"/>
  <c r="K17" i="1"/>
  <c r="P17" i="1" s="1"/>
  <c r="K18" i="1"/>
  <c r="P18" i="1" s="1"/>
  <c r="K19" i="1"/>
  <c r="P19" i="1" s="1"/>
  <c r="K20" i="1"/>
  <c r="P20" i="1" s="1"/>
  <c r="K21" i="1"/>
  <c r="P21" i="1" s="1"/>
  <c r="K22" i="1"/>
  <c r="P22" i="1" s="1"/>
  <c r="K23" i="1"/>
  <c r="P23" i="1" s="1"/>
  <c r="K24" i="1"/>
  <c r="P24" i="1" s="1"/>
  <c r="K25" i="1"/>
  <c r="P25" i="1" s="1"/>
  <c r="K26" i="1"/>
  <c r="P26" i="1" s="1"/>
  <c r="K27" i="1"/>
  <c r="P27" i="1" s="1"/>
  <c r="K28" i="1"/>
  <c r="P28" i="1" s="1"/>
  <c r="K29" i="1"/>
  <c r="P29" i="1" s="1"/>
  <c r="K30" i="1"/>
  <c r="P30" i="1" s="1"/>
  <c r="K31" i="1"/>
  <c r="P31" i="1" s="1"/>
  <c r="K32" i="1"/>
  <c r="P32" i="1" s="1"/>
  <c r="K33" i="1"/>
  <c r="P33" i="1" s="1"/>
  <c r="K34" i="1"/>
  <c r="P34" i="1" s="1"/>
  <c r="K35" i="1"/>
  <c r="P35" i="1" s="1"/>
  <c r="K36" i="1"/>
  <c r="P36" i="1" s="1"/>
  <c r="K37" i="1"/>
  <c r="P37" i="1" s="1"/>
  <c r="K38" i="1"/>
  <c r="P38" i="1" s="1"/>
  <c r="K39" i="1"/>
  <c r="P39" i="1" s="1"/>
  <c r="K40" i="1"/>
  <c r="P40" i="1" s="1"/>
  <c r="K41" i="1"/>
  <c r="P41" i="1" s="1"/>
  <c r="K2" i="1"/>
  <c r="P2" i="1" s="1"/>
  <c r="J3" i="1"/>
  <c r="O3" i="1" s="1"/>
  <c r="J4" i="1"/>
  <c r="O4" i="1" s="1"/>
  <c r="J5" i="1"/>
  <c r="O5" i="1" s="1"/>
  <c r="J6" i="1"/>
  <c r="O6" i="1" s="1"/>
  <c r="J7" i="1"/>
  <c r="O7" i="1" s="1"/>
  <c r="J8" i="1"/>
  <c r="O8" i="1" s="1"/>
  <c r="J9" i="1"/>
  <c r="O9" i="1" s="1"/>
  <c r="J10" i="1"/>
  <c r="O10" i="1" s="1"/>
  <c r="J11" i="1"/>
  <c r="O11" i="1" s="1"/>
  <c r="J12" i="1"/>
  <c r="O12" i="1" s="1"/>
  <c r="J13" i="1"/>
  <c r="O13" i="1" s="1"/>
  <c r="J14" i="1"/>
  <c r="O14" i="1" s="1"/>
  <c r="J15" i="1"/>
  <c r="O15" i="1" s="1"/>
  <c r="J16" i="1"/>
  <c r="O16" i="1" s="1"/>
  <c r="J17" i="1"/>
  <c r="O17" i="1" s="1"/>
  <c r="J18" i="1"/>
  <c r="O18" i="1" s="1"/>
  <c r="J19" i="1"/>
  <c r="O19" i="1" s="1"/>
  <c r="J20" i="1"/>
  <c r="O20" i="1" s="1"/>
  <c r="J21" i="1"/>
  <c r="O21" i="1" s="1"/>
  <c r="J22" i="1"/>
  <c r="O22" i="1" s="1"/>
  <c r="J23" i="1"/>
  <c r="O23" i="1" s="1"/>
  <c r="J24" i="1"/>
  <c r="O24" i="1" s="1"/>
  <c r="J25" i="1"/>
  <c r="O25" i="1" s="1"/>
  <c r="J26" i="1"/>
  <c r="O26" i="1" s="1"/>
  <c r="J27" i="1"/>
  <c r="O27" i="1" s="1"/>
  <c r="J28" i="1"/>
  <c r="O28" i="1" s="1"/>
  <c r="J29" i="1"/>
  <c r="O29" i="1" s="1"/>
  <c r="J30" i="1"/>
  <c r="O30" i="1" s="1"/>
  <c r="J31" i="1"/>
  <c r="O31" i="1" s="1"/>
  <c r="J32" i="1"/>
  <c r="O32" i="1" s="1"/>
  <c r="J33" i="1"/>
  <c r="O33" i="1" s="1"/>
  <c r="J34" i="1"/>
  <c r="O34" i="1" s="1"/>
  <c r="J35" i="1"/>
  <c r="O35" i="1" s="1"/>
  <c r="J36" i="1"/>
  <c r="O36" i="1" s="1"/>
  <c r="J37" i="1"/>
  <c r="O37" i="1" s="1"/>
  <c r="J38" i="1"/>
  <c r="O38" i="1" s="1"/>
  <c r="J39" i="1"/>
  <c r="O39" i="1" s="1"/>
  <c r="J40" i="1"/>
  <c r="O40" i="1" s="1"/>
  <c r="J41" i="1"/>
  <c r="O41" i="1" s="1"/>
  <c r="J2" i="1"/>
  <c r="O2" i="1" s="1"/>
  <c r="I3" i="1"/>
  <c r="N3" i="1" s="1"/>
  <c r="I4" i="1"/>
  <c r="N4" i="1" s="1"/>
  <c r="I5" i="1"/>
  <c r="N5" i="1" s="1"/>
  <c r="I6" i="1"/>
  <c r="N6" i="1" s="1"/>
  <c r="U6" i="1" s="1"/>
  <c r="I7" i="1"/>
  <c r="N7" i="1" s="1"/>
  <c r="I8" i="1"/>
  <c r="N8" i="1" s="1"/>
  <c r="I9" i="1"/>
  <c r="N9" i="1" s="1"/>
  <c r="U9" i="1" s="1"/>
  <c r="I10" i="1"/>
  <c r="N10" i="1" s="1"/>
  <c r="U10" i="1" s="1"/>
  <c r="I11" i="1"/>
  <c r="N11" i="1" s="1"/>
  <c r="U11" i="1" s="1"/>
  <c r="I12" i="1"/>
  <c r="N12" i="1" s="1"/>
  <c r="U12" i="1" s="1"/>
  <c r="I13" i="1"/>
  <c r="N13" i="1" s="1"/>
  <c r="U13" i="1" s="1"/>
  <c r="I14" i="1"/>
  <c r="N14" i="1" s="1"/>
  <c r="U14" i="1" s="1"/>
  <c r="I15" i="1"/>
  <c r="N15" i="1" s="1"/>
  <c r="I16" i="1"/>
  <c r="N16" i="1" s="1"/>
  <c r="U16" i="1" s="1"/>
  <c r="I17" i="1"/>
  <c r="N17" i="1" s="1"/>
  <c r="U17" i="1" s="1"/>
  <c r="I18" i="1"/>
  <c r="N18" i="1" s="1"/>
  <c r="U18" i="1" s="1"/>
  <c r="I19" i="1"/>
  <c r="N19" i="1" s="1"/>
  <c r="U19" i="1" s="1"/>
  <c r="I20" i="1"/>
  <c r="N20" i="1" s="1"/>
  <c r="U20" i="1" s="1"/>
  <c r="I21" i="1"/>
  <c r="N21" i="1" s="1"/>
  <c r="U21" i="1" s="1"/>
  <c r="I22" i="1"/>
  <c r="N22" i="1" s="1"/>
  <c r="U22" i="1" s="1"/>
  <c r="I23" i="1"/>
  <c r="N23" i="1" s="1"/>
  <c r="U23" i="1" s="1"/>
  <c r="I24" i="1"/>
  <c r="N24" i="1" s="1"/>
  <c r="U24" i="1" s="1"/>
  <c r="I25" i="1"/>
  <c r="N25" i="1" s="1"/>
  <c r="U25" i="1" s="1"/>
  <c r="I26" i="1"/>
  <c r="N26" i="1" s="1"/>
  <c r="U26" i="1" s="1"/>
  <c r="I27" i="1"/>
  <c r="N27" i="1" s="1"/>
  <c r="U27" i="1" s="1"/>
  <c r="I28" i="1"/>
  <c r="N28" i="1" s="1"/>
  <c r="U28" i="1" s="1"/>
  <c r="I29" i="1"/>
  <c r="N29" i="1" s="1"/>
  <c r="U29" i="1" s="1"/>
  <c r="I30" i="1"/>
  <c r="N30" i="1" s="1"/>
  <c r="U30" i="1" s="1"/>
  <c r="I31" i="1"/>
  <c r="N31" i="1" s="1"/>
  <c r="I32" i="1"/>
  <c r="N32" i="1" s="1"/>
  <c r="U32" i="1" s="1"/>
  <c r="I33" i="1"/>
  <c r="N33" i="1" s="1"/>
  <c r="U33" i="1" s="1"/>
  <c r="I34" i="1"/>
  <c r="N34" i="1" s="1"/>
  <c r="U34" i="1" s="1"/>
  <c r="I35" i="1"/>
  <c r="N35" i="1" s="1"/>
  <c r="U35" i="1" s="1"/>
  <c r="I36" i="1"/>
  <c r="N36" i="1" s="1"/>
  <c r="U36" i="1" s="1"/>
  <c r="I37" i="1"/>
  <c r="N37" i="1" s="1"/>
  <c r="U37" i="1" s="1"/>
  <c r="I38" i="1"/>
  <c r="N38" i="1" s="1"/>
  <c r="I39" i="1"/>
  <c r="N39" i="1" s="1"/>
  <c r="U39" i="1" s="1"/>
  <c r="I40" i="1"/>
  <c r="N40" i="1" s="1"/>
  <c r="U40" i="1" s="1"/>
  <c r="I41" i="1"/>
  <c r="N41" i="1" s="1"/>
  <c r="U41" i="1" s="1"/>
  <c r="I2" i="1"/>
  <c r="N2" i="1" s="1"/>
  <c r="U2" i="1" s="1"/>
  <c r="G42" i="1"/>
  <c r="F42" i="1"/>
  <c r="E42" i="1"/>
  <c r="C42" i="1"/>
  <c r="U8" i="1" l="1"/>
  <c r="U7" i="1"/>
  <c r="U4" i="1"/>
  <c r="U15" i="1"/>
  <c r="U5" i="1"/>
  <c r="U3" i="1"/>
  <c r="U31" i="1"/>
  <c r="U38" i="1"/>
</calcChain>
</file>

<file path=xl/sharedStrings.xml><?xml version="1.0" encoding="utf-8"?>
<sst xmlns="http://schemas.openxmlformats.org/spreadsheetml/2006/main" count="400" uniqueCount="78">
  <si>
    <t xml:space="preserve">No </t>
  </si>
  <si>
    <t xml:space="preserve">Nama Obat </t>
  </si>
  <si>
    <t>NELLCO SYRUP 100ml</t>
  </si>
  <si>
    <t>PARATUSIN syrup 60ml</t>
  </si>
  <si>
    <t>OBH COMBI syrup 100ml</t>
  </si>
  <si>
    <t>HUFAGRIPP syrup 60ml</t>
  </si>
  <si>
    <t>SANADRYL syrup 60ml</t>
  </si>
  <si>
    <t>BISOLVON syrup 60ml</t>
  </si>
  <si>
    <t>VICKS FORMULA 44 syrup</t>
  </si>
  <si>
    <t>ACTIFED syrup</t>
  </si>
  <si>
    <t>TEMPRA syrup</t>
  </si>
  <si>
    <t>TEMPRA FORTE syrup</t>
  </si>
  <si>
    <t>PRORIS syrup</t>
  </si>
  <si>
    <t>SANMOL syrup</t>
  </si>
  <si>
    <t>SANMOL FORTE syrup</t>
  </si>
  <si>
    <t>DARYAZINC syrup</t>
  </si>
  <si>
    <t>OBH COMBI ANAK syrup</t>
  </si>
  <si>
    <t>HUFAGRIPP ANAK syrup</t>
  </si>
  <si>
    <t>HUFAGRIPP DEMAM syrup</t>
  </si>
  <si>
    <t>BODREXIN ANAK syrup</t>
  </si>
  <si>
    <t>TRIAMINIC syrup</t>
  </si>
  <si>
    <t>VICKS ANAK syrup</t>
  </si>
  <si>
    <t>TERMOREX syrup</t>
  </si>
  <si>
    <t>HERBAKOF syrup</t>
  </si>
  <si>
    <t>PROSPAN syrup</t>
  </si>
  <si>
    <t>OB HERBAL syrup</t>
  </si>
  <si>
    <t>WOODS syrup</t>
  </si>
  <si>
    <t>SILEX syrup</t>
  </si>
  <si>
    <t>LASERIN syrup</t>
  </si>
  <si>
    <t>OBAT BATUK IBU ANAK syrup</t>
  </si>
  <si>
    <t>POLYSILANE syrup 100ml</t>
  </si>
  <si>
    <t>LASERIN syrup 110ml</t>
  </si>
  <si>
    <t>POLYSILANE syrup 180ml</t>
  </si>
  <si>
    <t>ESTER C syrup</t>
  </si>
  <si>
    <t>ENERVON-C syrup</t>
  </si>
  <si>
    <t>IMBOOST KIDS syrup</t>
  </si>
  <si>
    <t>MY WELL D3 syrup</t>
  </si>
  <si>
    <t>CURVIT syrup</t>
  </si>
  <si>
    <t>VITABUMIN syrup</t>
  </si>
  <si>
    <t>APIALYS syrup</t>
  </si>
  <si>
    <t>CURCUMA PLUS syrup</t>
  </si>
  <si>
    <t>ENKASARI syrup</t>
  </si>
  <si>
    <t xml:space="preserve">Harga </t>
  </si>
  <si>
    <t xml:space="preserve">Stock </t>
  </si>
  <si>
    <t xml:space="preserve">Laris </t>
  </si>
  <si>
    <t>Brand</t>
  </si>
  <si>
    <t xml:space="preserve">Display </t>
  </si>
  <si>
    <t>Normalisasi Harga</t>
  </si>
  <si>
    <t xml:space="preserve">Normalisasi Laris </t>
  </si>
  <si>
    <t>Normalisasi Brand</t>
  </si>
  <si>
    <t>Normalisasi Display</t>
  </si>
  <si>
    <t>Hitung Akhir Harga</t>
  </si>
  <si>
    <t xml:space="preserve">Hitung Akhir Laris </t>
  </si>
  <si>
    <t>Hitung Akhir Brand</t>
  </si>
  <si>
    <t xml:space="preserve">Hitung Akhir Display </t>
  </si>
  <si>
    <t xml:space="preserve">Hasil </t>
  </si>
  <si>
    <t xml:space="preserve">Harga Hitung Min </t>
  </si>
  <si>
    <t xml:space="preserve">Laris Hitung Max </t>
  </si>
  <si>
    <t xml:space="preserve">Brand Hitung Max </t>
  </si>
  <si>
    <t xml:space="preserve">Display Hitung Max </t>
  </si>
  <si>
    <t>Normalisasi laris = laris/max (4)</t>
  </si>
  <si>
    <t>Normalisasi harga = min/harga (19000)</t>
  </si>
  <si>
    <t>Normalisasi brand = brand/max (4)</t>
  </si>
  <si>
    <t>Normalisasi Display = display/max (5)</t>
  </si>
  <si>
    <t xml:space="preserve">Hitung akhir harga = normalisasi harga * 0.30 </t>
  </si>
  <si>
    <t xml:space="preserve">Hitung akhir laris = normalisasi laris * 0.30 </t>
  </si>
  <si>
    <t xml:space="preserve">Hitung akhir brand = normalisasi brand  * 0.20 </t>
  </si>
  <si>
    <t xml:space="preserve">Hitung akhir display = normalisasi display  * 0.20 </t>
  </si>
  <si>
    <t xml:space="preserve">hasil akhir = Hitung akhir harga + Hitung akhir laris + Hitung akhir brand + Hitung akhir display </t>
  </si>
  <si>
    <t>ss</t>
  </si>
  <si>
    <t>Normalisasi harga = min (19000)/harga</t>
  </si>
  <si>
    <t xml:space="preserve">Total </t>
  </si>
  <si>
    <t>Skor_Akhir_SAW</t>
  </si>
  <si>
    <t>Ranking_Obat</t>
  </si>
  <si>
    <t xml:space="preserve">PERINGKAT </t>
  </si>
  <si>
    <t>Normalisasi</t>
  </si>
  <si>
    <t xml:space="preserve">Hitung akhir </t>
  </si>
  <si>
    <t xml:space="preserve">RANK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</si>
</sst>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right" vertical="center"/>
    </xf>
    <xf numFmtId="0" fontId="2" fillId="0" borderId="3" xfId="0" applyFont="1" applyBorder="1"/>
    <xf numFmtId="0" fontId="2" fillId="0" borderId="13" xfId="0" applyFont="1" applyFill="1" applyBorder="1"/>
    <xf numFmtId="164" fontId="2" fillId="0" borderId="3" xfId="0" applyNumberFormat="1" applyFont="1" applyBorder="1"/>
    <xf numFmtId="0" fontId="2" fillId="0" borderId="6" xfId="0" applyFont="1" applyBorder="1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5" xfId="0" applyFont="1" applyBorder="1"/>
    <xf numFmtId="0" fontId="2" fillId="0" borderId="8" xfId="0" applyFont="1" applyBorder="1"/>
    <xf numFmtId="0" fontId="2" fillId="0" borderId="4" xfId="0" applyFont="1" applyBorder="1"/>
    <xf numFmtId="0" fontId="2" fillId="0" borderId="3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/>
    <xf numFmtId="0" fontId="0" fillId="2" borderId="3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1C80-1588-4DE2-A253-E74BA5A0C7E5}">
  <dimension ref="A1:U47"/>
  <sheetViews>
    <sheetView topLeftCell="L1" zoomScale="77" zoomScaleNormal="111" workbookViewId="0">
      <selection activeCell="U5" sqref="U5"/>
    </sheetView>
  </sheetViews>
  <sheetFormatPr defaultRowHeight="15.75" x14ac:dyDescent="0.25"/>
  <cols>
    <col min="1" max="1" width="9.140625" style="9"/>
    <col min="2" max="2" width="27.140625" style="9" customWidth="1"/>
    <col min="3" max="4" width="9.140625" style="9"/>
    <col min="5" max="5" width="26" style="9" customWidth="1"/>
    <col min="6" max="6" width="25.28515625" style="9" customWidth="1"/>
    <col min="7" max="7" width="27.85546875" style="9" customWidth="1"/>
    <col min="8" max="8" width="9.140625" style="9"/>
    <col min="9" max="9" width="28.5703125" style="9" customWidth="1"/>
    <col min="10" max="10" width="19.28515625" style="9" customWidth="1"/>
    <col min="11" max="11" width="22.7109375" style="9" customWidth="1"/>
    <col min="12" max="12" width="25.42578125" style="9" customWidth="1"/>
    <col min="13" max="13" width="9.140625" style="9"/>
    <col min="14" max="14" width="17.5703125" style="9" customWidth="1"/>
    <col min="15" max="15" width="14.7109375" style="9" customWidth="1"/>
    <col min="16" max="16" width="20.140625" style="9" customWidth="1"/>
    <col min="17" max="17" width="24.7109375" style="9" customWidth="1"/>
    <col min="18" max="19" width="9.140625" style="9"/>
    <col min="20" max="20" width="26.42578125" style="9" customWidth="1"/>
    <col min="21" max="23" width="9.140625" style="9"/>
    <col min="24" max="24" width="40.5703125" style="9" customWidth="1"/>
    <col min="25" max="25" width="51" style="9" customWidth="1"/>
    <col min="26" max="16384" width="9.140625" style="9"/>
  </cols>
  <sheetData>
    <row r="1" spans="1:21" x14ac:dyDescent="0.25">
      <c r="A1" s="11" t="s">
        <v>0</v>
      </c>
      <c r="B1" s="12" t="s">
        <v>1</v>
      </c>
      <c r="C1" s="5" t="s">
        <v>42</v>
      </c>
      <c r="D1" s="5" t="s">
        <v>43</v>
      </c>
      <c r="E1" s="11" t="s">
        <v>44</v>
      </c>
      <c r="F1" s="11" t="s">
        <v>45</v>
      </c>
      <c r="G1" s="11" t="s">
        <v>46</v>
      </c>
      <c r="I1" s="5" t="s">
        <v>47</v>
      </c>
      <c r="J1" s="16" t="s">
        <v>48</v>
      </c>
      <c r="K1" s="16" t="s">
        <v>49</v>
      </c>
      <c r="L1" s="16" t="s">
        <v>50</v>
      </c>
      <c r="N1" s="5" t="s">
        <v>51</v>
      </c>
      <c r="O1" s="16" t="s">
        <v>52</v>
      </c>
      <c r="P1" s="16" t="s">
        <v>53</v>
      </c>
      <c r="Q1" s="16" t="s">
        <v>54</v>
      </c>
      <c r="S1" s="11" t="s">
        <v>0</v>
      </c>
      <c r="T1" s="12" t="s">
        <v>1</v>
      </c>
      <c r="U1" s="16" t="s">
        <v>55</v>
      </c>
    </row>
    <row r="2" spans="1:21" x14ac:dyDescent="0.25">
      <c r="A2" s="11">
        <v>1</v>
      </c>
      <c r="B2" s="12" t="s">
        <v>2</v>
      </c>
      <c r="C2" s="5">
        <v>35000</v>
      </c>
      <c r="D2" s="5">
        <v>50</v>
      </c>
      <c r="E2" s="11">
        <v>3</v>
      </c>
      <c r="F2" s="11">
        <v>3</v>
      </c>
      <c r="G2" s="11">
        <v>3</v>
      </c>
      <c r="I2" s="5">
        <f>19000/C2</f>
        <v>0.54285714285714282</v>
      </c>
      <c r="J2" s="5">
        <f>E2/4</f>
        <v>0.75</v>
      </c>
      <c r="K2" s="5">
        <f>F2/4</f>
        <v>0.75</v>
      </c>
      <c r="L2" s="5">
        <f>G2/5</f>
        <v>0.6</v>
      </c>
      <c r="N2" s="5">
        <f>I2*0.3</f>
        <v>0.16285714285714284</v>
      </c>
      <c r="O2" s="5">
        <f>J2*0.3</f>
        <v>0.22499999999999998</v>
      </c>
      <c r="P2" s="5">
        <f>K2*0.2</f>
        <v>0.15000000000000002</v>
      </c>
      <c r="Q2" s="5">
        <f>L2*0.2</f>
        <v>0.12</v>
      </c>
      <c r="S2" s="11">
        <v>1</v>
      </c>
      <c r="T2" s="12" t="s">
        <v>2</v>
      </c>
      <c r="U2" s="5">
        <f>SUM(N2:Q2)</f>
        <v>0.65785714285714281</v>
      </c>
    </row>
    <row r="3" spans="1:21" x14ac:dyDescent="0.25">
      <c r="A3" s="11">
        <v>2</v>
      </c>
      <c r="B3" s="12" t="s">
        <v>3</v>
      </c>
      <c r="C3" s="5">
        <v>48000</v>
      </c>
      <c r="D3" s="5">
        <v>35</v>
      </c>
      <c r="E3" s="11">
        <v>4</v>
      </c>
      <c r="F3" s="11">
        <v>3</v>
      </c>
      <c r="G3" s="11">
        <v>3</v>
      </c>
      <c r="I3" s="5">
        <f t="shared" ref="I3:I41" si="0">19000/C3</f>
        <v>0.39583333333333331</v>
      </c>
      <c r="J3" s="5">
        <f t="shared" ref="J3:J41" si="1">E3/4</f>
        <v>1</v>
      </c>
      <c r="K3" s="5">
        <f t="shared" ref="K3:K41" si="2">F3/4</f>
        <v>0.75</v>
      </c>
      <c r="L3" s="5">
        <f t="shared" ref="L3:L41" si="3">G3/5</f>
        <v>0.6</v>
      </c>
      <c r="N3" s="5">
        <f t="shared" ref="N3:N41" si="4">I3*0.3</f>
        <v>0.11874999999999999</v>
      </c>
      <c r="O3" s="5">
        <f t="shared" ref="O3:O41" si="5">J3*0.3</f>
        <v>0.3</v>
      </c>
      <c r="P3" s="5">
        <f t="shared" ref="P3:P41" si="6">K3*0.2</f>
        <v>0.15000000000000002</v>
      </c>
      <c r="Q3" s="5">
        <f t="shared" ref="Q3:Q41" si="7">L3*0.2</f>
        <v>0.12</v>
      </c>
      <c r="S3" s="11">
        <v>2</v>
      </c>
      <c r="T3" s="12" t="s">
        <v>3</v>
      </c>
      <c r="U3" s="5">
        <f t="shared" ref="U3:U41" si="8">SUM(N3:Q3)</f>
        <v>0.68874999999999997</v>
      </c>
    </row>
    <row r="4" spans="1:21" x14ac:dyDescent="0.25">
      <c r="A4" s="11">
        <v>3</v>
      </c>
      <c r="B4" s="12" t="s">
        <v>4</v>
      </c>
      <c r="C4" s="5">
        <v>25000</v>
      </c>
      <c r="D4" s="5">
        <v>10</v>
      </c>
      <c r="E4" s="11">
        <v>3</v>
      </c>
      <c r="F4" s="11">
        <v>3</v>
      </c>
      <c r="G4" s="11">
        <v>3</v>
      </c>
      <c r="I4" s="5">
        <f t="shared" si="0"/>
        <v>0.76</v>
      </c>
      <c r="J4" s="5">
        <f t="shared" si="1"/>
        <v>0.75</v>
      </c>
      <c r="K4" s="5">
        <f t="shared" si="2"/>
        <v>0.75</v>
      </c>
      <c r="L4" s="5">
        <f t="shared" si="3"/>
        <v>0.6</v>
      </c>
      <c r="N4" s="5">
        <f t="shared" si="4"/>
        <v>0.22799999999999998</v>
      </c>
      <c r="O4" s="5">
        <f t="shared" si="5"/>
        <v>0.22499999999999998</v>
      </c>
      <c r="P4" s="5">
        <f t="shared" si="6"/>
        <v>0.15000000000000002</v>
      </c>
      <c r="Q4" s="5">
        <f t="shared" si="7"/>
        <v>0.12</v>
      </c>
      <c r="S4" s="11">
        <v>3</v>
      </c>
      <c r="T4" s="12" t="s">
        <v>4</v>
      </c>
      <c r="U4" s="5">
        <f t="shared" si="8"/>
        <v>0.72299999999999998</v>
      </c>
    </row>
    <row r="5" spans="1:21" x14ac:dyDescent="0.25">
      <c r="A5" s="11">
        <v>4</v>
      </c>
      <c r="B5" s="12" t="s">
        <v>5</v>
      </c>
      <c r="C5" s="5">
        <v>20000</v>
      </c>
      <c r="D5" s="5">
        <v>5</v>
      </c>
      <c r="E5" s="11">
        <v>3</v>
      </c>
      <c r="F5" s="11">
        <v>3</v>
      </c>
      <c r="G5" s="11">
        <v>3</v>
      </c>
      <c r="I5" s="5">
        <f t="shared" si="0"/>
        <v>0.95</v>
      </c>
      <c r="J5" s="5">
        <f t="shared" si="1"/>
        <v>0.75</v>
      </c>
      <c r="K5" s="5">
        <f t="shared" si="2"/>
        <v>0.75</v>
      </c>
      <c r="L5" s="5">
        <f t="shared" si="3"/>
        <v>0.6</v>
      </c>
      <c r="N5" s="5">
        <f t="shared" si="4"/>
        <v>0.28499999999999998</v>
      </c>
      <c r="O5" s="5">
        <f t="shared" si="5"/>
        <v>0.22499999999999998</v>
      </c>
      <c r="P5" s="5">
        <f t="shared" si="6"/>
        <v>0.15000000000000002</v>
      </c>
      <c r="Q5" s="5">
        <f t="shared" si="7"/>
        <v>0.12</v>
      </c>
      <c r="S5" s="11">
        <v>4</v>
      </c>
      <c r="T5" s="12" t="s">
        <v>5</v>
      </c>
      <c r="U5" s="5">
        <f t="shared" si="8"/>
        <v>0.78</v>
      </c>
    </row>
    <row r="6" spans="1:21" x14ac:dyDescent="0.25">
      <c r="A6" s="11">
        <v>5</v>
      </c>
      <c r="B6" s="12" t="s">
        <v>6</v>
      </c>
      <c r="C6" s="5">
        <v>23000</v>
      </c>
      <c r="D6" s="5">
        <v>15</v>
      </c>
      <c r="E6" s="11">
        <v>3</v>
      </c>
      <c r="F6" s="11">
        <v>3</v>
      </c>
      <c r="G6" s="11">
        <v>3</v>
      </c>
      <c r="I6" s="5">
        <f t="shared" si="0"/>
        <v>0.82608695652173914</v>
      </c>
      <c r="J6" s="5">
        <f t="shared" si="1"/>
        <v>0.75</v>
      </c>
      <c r="K6" s="5">
        <f t="shared" si="2"/>
        <v>0.75</v>
      </c>
      <c r="L6" s="5">
        <f t="shared" si="3"/>
        <v>0.6</v>
      </c>
      <c r="N6" s="5">
        <f t="shared" si="4"/>
        <v>0.24782608695652172</v>
      </c>
      <c r="O6" s="5">
        <f t="shared" si="5"/>
        <v>0.22499999999999998</v>
      </c>
      <c r="P6" s="5">
        <f t="shared" si="6"/>
        <v>0.15000000000000002</v>
      </c>
      <c r="Q6" s="5">
        <f t="shared" si="7"/>
        <v>0.12</v>
      </c>
      <c r="S6" s="11">
        <v>5</v>
      </c>
      <c r="T6" s="12" t="s">
        <v>6</v>
      </c>
      <c r="U6" s="5">
        <f t="shared" si="8"/>
        <v>0.74282608695652175</v>
      </c>
    </row>
    <row r="7" spans="1:21" x14ac:dyDescent="0.25">
      <c r="A7" s="11">
        <v>6</v>
      </c>
      <c r="B7" s="12" t="s">
        <v>7</v>
      </c>
      <c r="C7" s="5">
        <v>64000</v>
      </c>
      <c r="D7" s="5">
        <v>20</v>
      </c>
      <c r="E7" s="11">
        <v>3</v>
      </c>
      <c r="F7" s="11">
        <v>3</v>
      </c>
      <c r="G7" s="11">
        <v>3</v>
      </c>
      <c r="I7" s="5">
        <f t="shared" si="0"/>
        <v>0.296875</v>
      </c>
      <c r="J7" s="5">
        <f t="shared" si="1"/>
        <v>0.75</v>
      </c>
      <c r="K7" s="5">
        <f t="shared" si="2"/>
        <v>0.75</v>
      </c>
      <c r="L7" s="5">
        <f t="shared" si="3"/>
        <v>0.6</v>
      </c>
      <c r="N7" s="5">
        <f t="shared" si="4"/>
        <v>8.9062500000000003E-2</v>
      </c>
      <c r="O7" s="5">
        <f t="shared" si="5"/>
        <v>0.22499999999999998</v>
      </c>
      <c r="P7" s="5">
        <f t="shared" si="6"/>
        <v>0.15000000000000002</v>
      </c>
      <c r="Q7" s="5">
        <f t="shared" si="7"/>
        <v>0.12</v>
      </c>
      <c r="S7" s="11">
        <v>6</v>
      </c>
      <c r="T7" s="12" t="s">
        <v>7</v>
      </c>
      <c r="U7" s="5">
        <f t="shared" si="8"/>
        <v>0.58406249999999993</v>
      </c>
    </row>
    <row r="8" spans="1:21" x14ac:dyDescent="0.25">
      <c r="A8" s="11">
        <v>7</v>
      </c>
      <c r="B8" s="12" t="s">
        <v>8</v>
      </c>
      <c r="C8" s="5">
        <v>38000</v>
      </c>
      <c r="D8" s="5">
        <v>6</v>
      </c>
      <c r="E8" s="11">
        <v>3</v>
      </c>
      <c r="F8" s="11">
        <v>3</v>
      </c>
      <c r="G8" s="11">
        <v>3</v>
      </c>
      <c r="I8" s="5">
        <f t="shared" si="0"/>
        <v>0.5</v>
      </c>
      <c r="J8" s="5">
        <f t="shared" si="1"/>
        <v>0.75</v>
      </c>
      <c r="K8" s="5">
        <f t="shared" si="2"/>
        <v>0.75</v>
      </c>
      <c r="L8" s="5">
        <f t="shared" si="3"/>
        <v>0.6</v>
      </c>
      <c r="N8" s="5">
        <f t="shared" si="4"/>
        <v>0.15</v>
      </c>
      <c r="O8" s="5">
        <f t="shared" si="5"/>
        <v>0.22499999999999998</v>
      </c>
      <c r="P8" s="5">
        <f t="shared" si="6"/>
        <v>0.15000000000000002</v>
      </c>
      <c r="Q8" s="5">
        <f t="shared" si="7"/>
        <v>0.12</v>
      </c>
      <c r="S8" s="11">
        <v>7</v>
      </c>
      <c r="T8" s="12" t="s">
        <v>8</v>
      </c>
      <c r="U8" s="5">
        <f t="shared" si="8"/>
        <v>0.64500000000000002</v>
      </c>
    </row>
    <row r="9" spans="1:21" x14ac:dyDescent="0.25">
      <c r="A9" s="11">
        <v>8</v>
      </c>
      <c r="B9" s="12" t="s">
        <v>9</v>
      </c>
      <c r="C9" s="5">
        <v>75000</v>
      </c>
      <c r="D9" s="5">
        <v>10</v>
      </c>
      <c r="E9" s="11">
        <v>3</v>
      </c>
      <c r="F9" s="11">
        <v>3</v>
      </c>
      <c r="G9" s="11">
        <v>3</v>
      </c>
      <c r="I9" s="5">
        <f t="shared" si="0"/>
        <v>0.25333333333333335</v>
      </c>
      <c r="J9" s="5">
        <f t="shared" si="1"/>
        <v>0.75</v>
      </c>
      <c r="K9" s="5">
        <f t="shared" si="2"/>
        <v>0.75</v>
      </c>
      <c r="L9" s="5">
        <f t="shared" si="3"/>
        <v>0.6</v>
      </c>
      <c r="N9" s="5">
        <f t="shared" si="4"/>
        <v>7.5999999999999998E-2</v>
      </c>
      <c r="O9" s="5">
        <f t="shared" si="5"/>
        <v>0.22499999999999998</v>
      </c>
      <c r="P9" s="5">
        <f t="shared" si="6"/>
        <v>0.15000000000000002</v>
      </c>
      <c r="Q9" s="5">
        <f t="shared" si="7"/>
        <v>0.12</v>
      </c>
      <c r="S9" s="11">
        <v>8</v>
      </c>
      <c r="T9" s="12" t="s">
        <v>9</v>
      </c>
      <c r="U9" s="5">
        <f t="shared" si="8"/>
        <v>0.57099999999999995</v>
      </c>
    </row>
    <row r="10" spans="1:21" x14ac:dyDescent="0.25">
      <c r="A10" s="11">
        <v>9</v>
      </c>
      <c r="B10" s="12" t="s">
        <v>10</v>
      </c>
      <c r="C10" s="5">
        <v>55000</v>
      </c>
      <c r="D10" s="5">
        <v>23</v>
      </c>
      <c r="E10" s="11">
        <v>4</v>
      </c>
      <c r="F10" s="11">
        <v>4</v>
      </c>
      <c r="G10" s="11">
        <v>3</v>
      </c>
      <c r="I10" s="5">
        <f t="shared" si="0"/>
        <v>0.34545454545454546</v>
      </c>
      <c r="J10" s="5">
        <f t="shared" si="1"/>
        <v>1</v>
      </c>
      <c r="K10" s="5">
        <f t="shared" si="2"/>
        <v>1</v>
      </c>
      <c r="L10" s="5">
        <f t="shared" si="3"/>
        <v>0.6</v>
      </c>
      <c r="N10" s="5">
        <f t="shared" si="4"/>
        <v>0.10363636363636364</v>
      </c>
      <c r="O10" s="5">
        <f t="shared" si="5"/>
        <v>0.3</v>
      </c>
      <c r="P10" s="5">
        <f t="shared" si="6"/>
        <v>0.2</v>
      </c>
      <c r="Q10" s="5">
        <f t="shared" si="7"/>
        <v>0.12</v>
      </c>
      <c r="S10" s="11">
        <v>9</v>
      </c>
      <c r="T10" s="12" t="s">
        <v>10</v>
      </c>
      <c r="U10" s="5">
        <f t="shared" si="8"/>
        <v>0.72363636363636363</v>
      </c>
    </row>
    <row r="11" spans="1:21" x14ac:dyDescent="0.25">
      <c r="A11" s="11">
        <v>10</v>
      </c>
      <c r="B11" s="12" t="s">
        <v>11</v>
      </c>
      <c r="C11" s="5">
        <v>62000</v>
      </c>
      <c r="D11" s="5">
        <v>13</v>
      </c>
      <c r="E11" s="11">
        <v>4</v>
      </c>
      <c r="F11" s="11">
        <v>4</v>
      </c>
      <c r="G11" s="11">
        <v>3</v>
      </c>
      <c r="I11" s="5">
        <f t="shared" si="0"/>
        <v>0.30645161290322581</v>
      </c>
      <c r="J11" s="5">
        <f t="shared" si="1"/>
        <v>1</v>
      </c>
      <c r="K11" s="5">
        <f t="shared" si="2"/>
        <v>1</v>
      </c>
      <c r="L11" s="5">
        <f t="shared" si="3"/>
        <v>0.6</v>
      </c>
      <c r="N11" s="5">
        <f t="shared" si="4"/>
        <v>9.1935483870967741E-2</v>
      </c>
      <c r="O11" s="5">
        <f t="shared" si="5"/>
        <v>0.3</v>
      </c>
      <c r="P11" s="5">
        <f t="shared" si="6"/>
        <v>0.2</v>
      </c>
      <c r="Q11" s="5">
        <f t="shared" si="7"/>
        <v>0.12</v>
      </c>
      <c r="S11" s="11">
        <v>10</v>
      </c>
      <c r="T11" s="12" t="s">
        <v>11</v>
      </c>
      <c r="U11" s="5">
        <f t="shared" si="8"/>
        <v>0.71193548387096772</v>
      </c>
    </row>
    <row r="12" spans="1:21" x14ac:dyDescent="0.25">
      <c r="A12" s="11">
        <v>11</v>
      </c>
      <c r="B12" s="12" t="s">
        <v>12</v>
      </c>
      <c r="C12" s="5">
        <v>32000</v>
      </c>
      <c r="D12" s="5">
        <v>14</v>
      </c>
      <c r="E12" s="11">
        <v>4</v>
      </c>
      <c r="F12" s="11">
        <v>3</v>
      </c>
      <c r="G12" s="11">
        <v>3</v>
      </c>
      <c r="I12" s="5">
        <f t="shared" si="0"/>
        <v>0.59375</v>
      </c>
      <c r="J12" s="5">
        <f t="shared" si="1"/>
        <v>1</v>
      </c>
      <c r="K12" s="5">
        <f t="shared" si="2"/>
        <v>0.75</v>
      </c>
      <c r="L12" s="5">
        <f t="shared" si="3"/>
        <v>0.6</v>
      </c>
      <c r="N12" s="5">
        <f t="shared" si="4"/>
        <v>0.17812500000000001</v>
      </c>
      <c r="O12" s="5">
        <f t="shared" si="5"/>
        <v>0.3</v>
      </c>
      <c r="P12" s="5">
        <f t="shared" si="6"/>
        <v>0.15000000000000002</v>
      </c>
      <c r="Q12" s="5">
        <f t="shared" si="7"/>
        <v>0.12</v>
      </c>
      <c r="S12" s="11">
        <v>11</v>
      </c>
      <c r="T12" s="12" t="s">
        <v>12</v>
      </c>
      <c r="U12" s="5">
        <f t="shared" si="8"/>
        <v>0.74812500000000004</v>
      </c>
    </row>
    <row r="13" spans="1:21" x14ac:dyDescent="0.25">
      <c r="A13" s="11">
        <v>12</v>
      </c>
      <c r="B13" s="12" t="s">
        <v>13</v>
      </c>
      <c r="C13" s="5">
        <v>24000</v>
      </c>
      <c r="D13" s="5">
        <v>10</v>
      </c>
      <c r="E13" s="11">
        <v>4</v>
      </c>
      <c r="F13" s="11">
        <v>4</v>
      </c>
      <c r="G13" s="11">
        <v>3</v>
      </c>
      <c r="I13" s="5">
        <f t="shared" si="0"/>
        <v>0.79166666666666663</v>
      </c>
      <c r="J13" s="5">
        <f t="shared" si="1"/>
        <v>1</v>
      </c>
      <c r="K13" s="5">
        <f t="shared" si="2"/>
        <v>1</v>
      </c>
      <c r="L13" s="5">
        <f t="shared" si="3"/>
        <v>0.6</v>
      </c>
      <c r="N13" s="5">
        <f t="shared" si="4"/>
        <v>0.23749999999999999</v>
      </c>
      <c r="O13" s="5">
        <f t="shared" si="5"/>
        <v>0.3</v>
      </c>
      <c r="P13" s="5">
        <f t="shared" si="6"/>
        <v>0.2</v>
      </c>
      <c r="Q13" s="5">
        <f t="shared" si="7"/>
        <v>0.12</v>
      </c>
      <c r="S13" s="11">
        <v>12</v>
      </c>
      <c r="T13" s="12" t="s">
        <v>13</v>
      </c>
      <c r="U13" s="5">
        <f t="shared" si="8"/>
        <v>0.85750000000000004</v>
      </c>
    </row>
    <row r="14" spans="1:21" x14ac:dyDescent="0.25">
      <c r="A14" s="11">
        <v>13</v>
      </c>
      <c r="B14" s="12" t="s">
        <v>14</v>
      </c>
      <c r="C14" s="5">
        <v>42500</v>
      </c>
      <c r="D14" s="5">
        <v>5</v>
      </c>
      <c r="E14" s="11">
        <v>3</v>
      </c>
      <c r="F14" s="11">
        <v>4</v>
      </c>
      <c r="G14" s="11">
        <v>3</v>
      </c>
      <c r="I14" s="5">
        <f t="shared" si="0"/>
        <v>0.44705882352941179</v>
      </c>
      <c r="J14" s="5">
        <f t="shared" si="1"/>
        <v>0.75</v>
      </c>
      <c r="K14" s="5">
        <f t="shared" si="2"/>
        <v>1</v>
      </c>
      <c r="L14" s="5">
        <f t="shared" si="3"/>
        <v>0.6</v>
      </c>
      <c r="N14" s="5">
        <f t="shared" si="4"/>
        <v>0.13411764705882354</v>
      </c>
      <c r="O14" s="5">
        <f t="shared" si="5"/>
        <v>0.22499999999999998</v>
      </c>
      <c r="P14" s="5">
        <f t="shared" si="6"/>
        <v>0.2</v>
      </c>
      <c r="Q14" s="5">
        <f t="shared" si="7"/>
        <v>0.12</v>
      </c>
      <c r="S14" s="11">
        <v>13</v>
      </c>
      <c r="T14" s="12" t="s">
        <v>14</v>
      </c>
      <c r="U14" s="5">
        <f t="shared" si="8"/>
        <v>0.67911764705882349</v>
      </c>
    </row>
    <row r="15" spans="1:21" x14ac:dyDescent="0.25">
      <c r="A15" s="11">
        <v>14</v>
      </c>
      <c r="B15" s="12" t="s">
        <v>15</v>
      </c>
      <c r="C15" s="5">
        <v>46000</v>
      </c>
      <c r="D15" s="5">
        <v>5</v>
      </c>
      <c r="E15" s="11">
        <v>3</v>
      </c>
      <c r="F15" s="11">
        <v>3</v>
      </c>
      <c r="G15" s="11">
        <v>3</v>
      </c>
      <c r="I15" s="5">
        <f t="shared" si="0"/>
        <v>0.41304347826086957</v>
      </c>
      <c r="J15" s="5">
        <f t="shared" si="1"/>
        <v>0.75</v>
      </c>
      <c r="K15" s="5">
        <f t="shared" si="2"/>
        <v>0.75</v>
      </c>
      <c r="L15" s="5">
        <f t="shared" si="3"/>
        <v>0.6</v>
      </c>
      <c r="N15" s="5">
        <f t="shared" si="4"/>
        <v>0.12391304347826086</v>
      </c>
      <c r="O15" s="5">
        <f t="shared" si="5"/>
        <v>0.22499999999999998</v>
      </c>
      <c r="P15" s="5">
        <f t="shared" si="6"/>
        <v>0.15000000000000002</v>
      </c>
      <c r="Q15" s="5">
        <f t="shared" si="7"/>
        <v>0.12</v>
      </c>
      <c r="S15" s="11">
        <v>14</v>
      </c>
      <c r="T15" s="12" t="s">
        <v>15</v>
      </c>
      <c r="U15" s="5">
        <f t="shared" si="8"/>
        <v>0.61891304347826082</v>
      </c>
    </row>
    <row r="16" spans="1:21" x14ac:dyDescent="0.25">
      <c r="A16" s="11">
        <v>15</v>
      </c>
      <c r="B16" s="12" t="s">
        <v>16</v>
      </c>
      <c r="C16" s="5">
        <v>21000</v>
      </c>
      <c r="D16" s="5">
        <v>11</v>
      </c>
      <c r="E16" s="11">
        <v>3</v>
      </c>
      <c r="F16" s="11">
        <v>4</v>
      </c>
      <c r="G16" s="11">
        <v>3</v>
      </c>
      <c r="I16" s="5">
        <f t="shared" si="0"/>
        <v>0.90476190476190477</v>
      </c>
      <c r="J16" s="5">
        <f t="shared" si="1"/>
        <v>0.75</v>
      </c>
      <c r="K16" s="5">
        <f t="shared" si="2"/>
        <v>1</v>
      </c>
      <c r="L16" s="5">
        <f t="shared" si="3"/>
        <v>0.6</v>
      </c>
      <c r="N16" s="5">
        <f t="shared" si="4"/>
        <v>0.27142857142857141</v>
      </c>
      <c r="O16" s="5">
        <f t="shared" si="5"/>
        <v>0.22499999999999998</v>
      </c>
      <c r="P16" s="5">
        <f t="shared" si="6"/>
        <v>0.2</v>
      </c>
      <c r="Q16" s="5">
        <f t="shared" si="7"/>
        <v>0.12</v>
      </c>
      <c r="S16" s="11">
        <v>15</v>
      </c>
      <c r="T16" s="12" t="s">
        <v>16</v>
      </c>
      <c r="U16" s="5">
        <f t="shared" si="8"/>
        <v>0.81642857142857139</v>
      </c>
    </row>
    <row r="17" spans="1:21" x14ac:dyDescent="0.25">
      <c r="A17" s="11">
        <v>16</v>
      </c>
      <c r="B17" s="12" t="s">
        <v>17</v>
      </c>
      <c r="C17" s="5">
        <v>25000</v>
      </c>
      <c r="D17" s="5">
        <v>16</v>
      </c>
      <c r="E17" s="11">
        <v>3</v>
      </c>
      <c r="F17" s="11">
        <v>3</v>
      </c>
      <c r="G17" s="11">
        <v>3</v>
      </c>
      <c r="I17" s="5">
        <f t="shared" si="0"/>
        <v>0.76</v>
      </c>
      <c r="J17" s="5">
        <f t="shared" si="1"/>
        <v>0.75</v>
      </c>
      <c r="K17" s="5">
        <f t="shared" si="2"/>
        <v>0.75</v>
      </c>
      <c r="L17" s="5">
        <f t="shared" si="3"/>
        <v>0.6</v>
      </c>
      <c r="N17" s="5">
        <f t="shared" si="4"/>
        <v>0.22799999999999998</v>
      </c>
      <c r="O17" s="5">
        <f t="shared" si="5"/>
        <v>0.22499999999999998</v>
      </c>
      <c r="P17" s="5">
        <f t="shared" si="6"/>
        <v>0.15000000000000002</v>
      </c>
      <c r="Q17" s="5">
        <f t="shared" si="7"/>
        <v>0.12</v>
      </c>
      <c r="S17" s="11">
        <v>16</v>
      </c>
      <c r="T17" s="12" t="s">
        <v>17</v>
      </c>
      <c r="U17" s="5">
        <f t="shared" si="8"/>
        <v>0.72299999999999998</v>
      </c>
    </row>
    <row r="18" spans="1:21" x14ac:dyDescent="0.25">
      <c r="A18" s="11">
        <v>17</v>
      </c>
      <c r="B18" s="12" t="s">
        <v>18</v>
      </c>
      <c r="C18" s="5">
        <v>25000</v>
      </c>
      <c r="D18" s="5">
        <v>16</v>
      </c>
      <c r="E18" s="11">
        <v>3</v>
      </c>
      <c r="F18" s="11">
        <v>3</v>
      </c>
      <c r="G18" s="11">
        <v>3</v>
      </c>
      <c r="I18" s="5">
        <f t="shared" si="0"/>
        <v>0.76</v>
      </c>
      <c r="J18" s="5">
        <f t="shared" si="1"/>
        <v>0.75</v>
      </c>
      <c r="K18" s="5">
        <f t="shared" si="2"/>
        <v>0.75</v>
      </c>
      <c r="L18" s="5">
        <f t="shared" si="3"/>
        <v>0.6</v>
      </c>
      <c r="N18" s="5">
        <f t="shared" si="4"/>
        <v>0.22799999999999998</v>
      </c>
      <c r="O18" s="5">
        <f t="shared" si="5"/>
        <v>0.22499999999999998</v>
      </c>
      <c r="P18" s="5">
        <f t="shared" si="6"/>
        <v>0.15000000000000002</v>
      </c>
      <c r="Q18" s="5">
        <f t="shared" si="7"/>
        <v>0.12</v>
      </c>
      <c r="S18" s="11">
        <v>17</v>
      </c>
      <c r="T18" s="12" t="s">
        <v>18</v>
      </c>
      <c r="U18" s="5">
        <f t="shared" si="8"/>
        <v>0.72299999999999998</v>
      </c>
    </row>
    <row r="19" spans="1:21" x14ac:dyDescent="0.25">
      <c r="A19" s="11">
        <v>18</v>
      </c>
      <c r="B19" s="12" t="s">
        <v>19</v>
      </c>
      <c r="C19" s="5">
        <v>22000</v>
      </c>
      <c r="D19" s="5">
        <v>2</v>
      </c>
      <c r="E19" s="11">
        <v>3</v>
      </c>
      <c r="F19" s="11">
        <v>4</v>
      </c>
      <c r="G19" s="11">
        <v>3</v>
      </c>
      <c r="I19" s="5">
        <f t="shared" si="0"/>
        <v>0.86363636363636365</v>
      </c>
      <c r="J19" s="5">
        <f t="shared" si="1"/>
        <v>0.75</v>
      </c>
      <c r="K19" s="5">
        <f t="shared" si="2"/>
        <v>1</v>
      </c>
      <c r="L19" s="5">
        <f t="shared" si="3"/>
        <v>0.6</v>
      </c>
      <c r="N19" s="5">
        <f t="shared" si="4"/>
        <v>0.25909090909090909</v>
      </c>
      <c r="O19" s="5">
        <f t="shared" si="5"/>
        <v>0.22499999999999998</v>
      </c>
      <c r="P19" s="5">
        <f t="shared" si="6"/>
        <v>0.2</v>
      </c>
      <c r="Q19" s="5">
        <f t="shared" si="7"/>
        <v>0.12</v>
      </c>
      <c r="S19" s="11">
        <v>18</v>
      </c>
      <c r="T19" s="12" t="s">
        <v>19</v>
      </c>
      <c r="U19" s="5">
        <f t="shared" si="8"/>
        <v>0.80409090909090908</v>
      </c>
    </row>
    <row r="20" spans="1:21" x14ac:dyDescent="0.25">
      <c r="A20" s="11">
        <v>19</v>
      </c>
      <c r="B20" s="12" t="s">
        <v>20</v>
      </c>
      <c r="C20" s="5">
        <v>96000</v>
      </c>
      <c r="D20" s="5">
        <v>6</v>
      </c>
      <c r="E20" s="11">
        <v>3</v>
      </c>
      <c r="F20" s="11">
        <v>3</v>
      </c>
      <c r="G20" s="11">
        <v>3</v>
      </c>
      <c r="I20" s="5">
        <f t="shared" si="0"/>
        <v>0.19791666666666666</v>
      </c>
      <c r="J20" s="5">
        <f t="shared" si="1"/>
        <v>0.75</v>
      </c>
      <c r="K20" s="5">
        <f t="shared" si="2"/>
        <v>0.75</v>
      </c>
      <c r="L20" s="5">
        <f t="shared" si="3"/>
        <v>0.6</v>
      </c>
      <c r="N20" s="5">
        <f t="shared" si="4"/>
        <v>5.9374999999999997E-2</v>
      </c>
      <c r="O20" s="5">
        <f t="shared" si="5"/>
        <v>0.22499999999999998</v>
      </c>
      <c r="P20" s="5">
        <f t="shared" si="6"/>
        <v>0.15000000000000002</v>
      </c>
      <c r="Q20" s="5">
        <f t="shared" si="7"/>
        <v>0.12</v>
      </c>
      <c r="S20" s="11">
        <v>19</v>
      </c>
      <c r="T20" s="12" t="s">
        <v>20</v>
      </c>
      <c r="U20" s="5">
        <f t="shared" si="8"/>
        <v>0.55437500000000006</v>
      </c>
    </row>
    <row r="21" spans="1:21" x14ac:dyDescent="0.25">
      <c r="A21" s="11">
        <v>20</v>
      </c>
      <c r="B21" s="12" t="s">
        <v>21</v>
      </c>
      <c r="C21" s="5">
        <v>30000</v>
      </c>
      <c r="D21" s="5">
        <v>1</v>
      </c>
      <c r="E21" s="11">
        <v>3</v>
      </c>
      <c r="F21" s="11">
        <v>3</v>
      </c>
      <c r="G21" s="11">
        <v>3</v>
      </c>
      <c r="I21" s="5">
        <f t="shared" si="0"/>
        <v>0.6333333333333333</v>
      </c>
      <c r="J21" s="5">
        <f t="shared" si="1"/>
        <v>0.75</v>
      </c>
      <c r="K21" s="5">
        <f t="shared" si="2"/>
        <v>0.75</v>
      </c>
      <c r="L21" s="5">
        <f t="shared" si="3"/>
        <v>0.6</v>
      </c>
      <c r="N21" s="5">
        <f t="shared" si="4"/>
        <v>0.18999999999999997</v>
      </c>
      <c r="O21" s="5">
        <f t="shared" si="5"/>
        <v>0.22499999999999998</v>
      </c>
      <c r="P21" s="5">
        <f t="shared" si="6"/>
        <v>0.15000000000000002</v>
      </c>
      <c r="Q21" s="5">
        <f t="shared" si="7"/>
        <v>0.12</v>
      </c>
      <c r="S21" s="11">
        <v>20</v>
      </c>
      <c r="T21" s="12" t="s">
        <v>21</v>
      </c>
      <c r="U21" s="5">
        <f t="shared" si="8"/>
        <v>0.68499999999999994</v>
      </c>
    </row>
    <row r="22" spans="1:21" x14ac:dyDescent="0.25">
      <c r="A22" s="11">
        <v>21</v>
      </c>
      <c r="B22" s="12" t="s">
        <v>22</v>
      </c>
      <c r="C22" s="5">
        <v>22000</v>
      </c>
      <c r="D22" s="5">
        <v>2</v>
      </c>
      <c r="E22" s="11">
        <v>3</v>
      </c>
      <c r="F22" s="11">
        <v>3</v>
      </c>
      <c r="G22" s="11">
        <v>3</v>
      </c>
      <c r="I22" s="5">
        <f t="shared" si="0"/>
        <v>0.86363636363636365</v>
      </c>
      <c r="J22" s="5">
        <f t="shared" si="1"/>
        <v>0.75</v>
      </c>
      <c r="K22" s="5">
        <f t="shared" si="2"/>
        <v>0.75</v>
      </c>
      <c r="L22" s="5">
        <f t="shared" si="3"/>
        <v>0.6</v>
      </c>
      <c r="N22" s="5">
        <f t="shared" si="4"/>
        <v>0.25909090909090909</v>
      </c>
      <c r="O22" s="5">
        <f t="shared" si="5"/>
        <v>0.22499999999999998</v>
      </c>
      <c r="P22" s="5">
        <f t="shared" si="6"/>
        <v>0.15000000000000002</v>
      </c>
      <c r="Q22" s="5">
        <f t="shared" si="7"/>
        <v>0.12</v>
      </c>
      <c r="S22" s="11">
        <v>21</v>
      </c>
      <c r="T22" s="12" t="s">
        <v>22</v>
      </c>
      <c r="U22" s="5">
        <f t="shared" si="8"/>
        <v>0.75409090909090903</v>
      </c>
    </row>
    <row r="23" spans="1:21" x14ac:dyDescent="0.25">
      <c r="A23" s="11">
        <v>22</v>
      </c>
      <c r="B23" s="12" t="s">
        <v>23</v>
      </c>
      <c r="C23" s="5">
        <v>30000</v>
      </c>
      <c r="D23" s="5">
        <v>40</v>
      </c>
      <c r="E23" s="11">
        <v>3</v>
      </c>
      <c r="F23" s="11">
        <v>3</v>
      </c>
      <c r="G23" s="11">
        <v>3</v>
      </c>
      <c r="I23" s="5">
        <f t="shared" si="0"/>
        <v>0.6333333333333333</v>
      </c>
      <c r="J23" s="5">
        <f t="shared" si="1"/>
        <v>0.75</v>
      </c>
      <c r="K23" s="5">
        <f t="shared" si="2"/>
        <v>0.75</v>
      </c>
      <c r="L23" s="5">
        <f t="shared" si="3"/>
        <v>0.6</v>
      </c>
      <c r="N23" s="5">
        <f t="shared" si="4"/>
        <v>0.18999999999999997</v>
      </c>
      <c r="O23" s="5">
        <f t="shared" si="5"/>
        <v>0.22499999999999998</v>
      </c>
      <c r="P23" s="5">
        <f t="shared" si="6"/>
        <v>0.15000000000000002</v>
      </c>
      <c r="Q23" s="5">
        <f t="shared" si="7"/>
        <v>0.12</v>
      </c>
      <c r="S23" s="11">
        <v>22</v>
      </c>
      <c r="T23" s="12" t="s">
        <v>23</v>
      </c>
      <c r="U23" s="5">
        <f t="shared" si="8"/>
        <v>0.68499999999999994</v>
      </c>
    </row>
    <row r="24" spans="1:21" x14ac:dyDescent="0.25">
      <c r="A24" s="11">
        <v>23</v>
      </c>
      <c r="B24" s="12" t="s">
        <v>24</v>
      </c>
      <c r="C24" s="5">
        <v>95000</v>
      </c>
      <c r="D24" s="5">
        <v>6</v>
      </c>
      <c r="E24" s="11">
        <v>3</v>
      </c>
      <c r="F24" s="11">
        <v>3</v>
      </c>
      <c r="G24" s="11">
        <v>3</v>
      </c>
      <c r="I24" s="5">
        <f t="shared" si="0"/>
        <v>0.2</v>
      </c>
      <c r="J24" s="5">
        <f t="shared" si="1"/>
        <v>0.75</v>
      </c>
      <c r="K24" s="5">
        <f t="shared" si="2"/>
        <v>0.75</v>
      </c>
      <c r="L24" s="5">
        <f t="shared" si="3"/>
        <v>0.6</v>
      </c>
      <c r="N24" s="5">
        <f t="shared" si="4"/>
        <v>0.06</v>
      </c>
      <c r="O24" s="5">
        <f t="shared" si="5"/>
        <v>0.22499999999999998</v>
      </c>
      <c r="P24" s="5">
        <f t="shared" si="6"/>
        <v>0.15000000000000002</v>
      </c>
      <c r="Q24" s="5">
        <f t="shared" si="7"/>
        <v>0.12</v>
      </c>
      <c r="S24" s="11">
        <v>23</v>
      </c>
      <c r="T24" s="12" t="s">
        <v>24</v>
      </c>
      <c r="U24" s="5">
        <f t="shared" si="8"/>
        <v>0.55499999999999994</v>
      </c>
    </row>
    <row r="25" spans="1:21" x14ac:dyDescent="0.25">
      <c r="A25" s="11">
        <v>24</v>
      </c>
      <c r="B25" s="12" t="s">
        <v>25</v>
      </c>
      <c r="C25" s="5">
        <v>22000</v>
      </c>
      <c r="D25" s="5">
        <v>15</v>
      </c>
      <c r="E25" s="11">
        <v>3</v>
      </c>
      <c r="F25" s="11">
        <v>3</v>
      </c>
      <c r="G25" s="11">
        <v>3</v>
      </c>
      <c r="I25" s="5">
        <f t="shared" si="0"/>
        <v>0.86363636363636365</v>
      </c>
      <c r="J25" s="5">
        <f t="shared" si="1"/>
        <v>0.75</v>
      </c>
      <c r="K25" s="5">
        <f t="shared" si="2"/>
        <v>0.75</v>
      </c>
      <c r="L25" s="5">
        <f t="shared" si="3"/>
        <v>0.6</v>
      </c>
      <c r="N25" s="5">
        <f t="shared" si="4"/>
        <v>0.25909090909090909</v>
      </c>
      <c r="O25" s="5">
        <f t="shared" si="5"/>
        <v>0.22499999999999998</v>
      </c>
      <c r="P25" s="5">
        <f t="shared" si="6"/>
        <v>0.15000000000000002</v>
      </c>
      <c r="Q25" s="5">
        <f t="shared" si="7"/>
        <v>0.12</v>
      </c>
      <c r="S25" s="11">
        <v>24</v>
      </c>
      <c r="T25" s="12" t="s">
        <v>25</v>
      </c>
      <c r="U25" s="5">
        <f t="shared" si="8"/>
        <v>0.75409090909090903</v>
      </c>
    </row>
    <row r="26" spans="1:21" x14ac:dyDescent="0.25">
      <c r="A26" s="11">
        <v>25</v>
      </c>
      <c r="B26" s="12" t="s">
        <v>26</v>
      </c>
      <c r="C26" s="5">
        <v>44000</v>
      </c>
      <c r="D26" s="5">
        <v>25</v>
      </c>
      <c r="E26" s="11">
        <v>3</v>
      </c>
      <c r="F26" s="11">
        <v>3</v>
      </c>
      <c r="G26" s="11">
        <v>3</v>
      </c>
      <c r="I26" s="5">
        <f t="shared" si="0"/>
        <v>0.43181818181818182</v>
      </c>
      <c r="J26" s="5">
        <f t="shared" si="1"/>
        <v>0.75</v>
      </c>
      <c r="K26" s="5">
        <f t="shared" si="2"/>
        <v>0.75</v>
      </c>
      <c r="L26" s="5">
        <f t="shared" si="3"/>
        <v>0.6</v>
      </c>
      <c r="N26" s="5">
        <f t="shared" si="4"/>
        <v>0.12954545454545455</v>
      </c>
      <c r="O26" s="5">
        <f t="shared" si="5"/>
        <v>0.22499999999999998</v>
      </c>
      <c r="P26" s="5">
        <f t="shared" si="6"/>
        <v>0.15000000000000002</v>
      </c>
      <c r="Q26" s="5">
        <f t="shared" si="7"/>
        <v>0.12</v>
      </c>
      <c r="S26" s="11">
        <v>25</v>
      </c>
      <c r="T26" s="12" t="s">
        <v>26</v>
      </c>
      <c r="U26" s="5">
        <f t="shared" si="8"/>
        <v>0.62454545454545451</v>
      </c>
    </row>
    <row r="27" spans="1:21" x14ac:dyDescent="0.25">
      <c r="A27" s="11">
        <v>26</v>
      </c>
      <c r="B27" s="12" t="s">
        <v>27</v>
      </c>
      <c r="C27" s="5">
        <v>102000</v>
      </c>
      <c r="D27" s="5">
        <v>36</v>
      </c>
      <c r="E27" s="11">
        <v>3</v>
      </c>
      <c r="F27" s="11">
        <v>3</v>
      </c>
      <c r="G27" s="11">
        <v>3</v>
      </c>
      <c r="I27" s="5">
        <f t="shared" si="0"/>
        <v>0.18627450980392157</v>
      </c>
      <c r="J27" s="5">
        <f t="shared" si="1"/>
        <v>0.75</v>
      </c>
      <c r="K27" s="5">
        <f t="shared" si="2"/>
        <v>0.75</v>
      </c>
      <c r="L27" s="5">
        <f t="shared" si="3"/>
        <v>0.6</v>
      </c>
      <c r="N27" s="5">
        <f t="shared" si="4"/>
        <v>5.5882352941176473E-2</v>
      </c>
      <c r="O27" s="5">
        <f t="shared" si="5"/>
        <v>0.22499999999999998</v>
      </c>
      <c r="P27" s="5">
        <f t="shared" si="6"/>
        <v>0.15000000000000002</v>
      </c>
      <c r="Q27" s="5">
        <f t="shared" si="7"/>
        <v>0.12</v>
      </c>
      <c r="S27" s="11">
        <v>26</v>
      </c>
      <c r="T27" s="12" t="s">
        <v>27</v>
      </c>
      <c r="U27" s="5">
        <f t="shared" si="8"/>
        <v>0.55088235294117649</v>
      </c>
    </row>
    <row r="28" spans="1:21" x14ac:dyDescent="0.25">
      <c r="A28" s="11">
        <v>27</v>
      </c>
      <c r="B28" s="12" t="s">
        <v>28</v>
      </c>
      <c r="C28" s="5">
        <v>19000</v>
      </c>
      <c r="D28" s="5">
        <v>5</v>
      </c>
      <c r="E28" s="11">
        <v>3</v>
      </c>
      <c r="F28" s="11">
        <v>3</v>
      </c>
      <c r="G28" s="11">
        <v>3</v>
      </c>
      <c r="I28" s="5">
        <f t="shared" si="0"/>
        <v>1</v>
      </c>
      <c r="J28" s="5">
        <f t="shared" si="1"/>
        <v>0.75</v>
      </c>
      <c r="K28" s="5">
        <f t="shared" si="2"/>
        <v>0.75</v>
      </c>
      <c r="L28" s="5">
        <f t="shared" si="3"/>
        <v>0.6</v>
      </c>
      <c r="N28" s="5">
        <f t="shared" si="4"/>
        <v>0.3</v>
      </c>
      <c r="O28" s="5">
        <f t="shared" si="5"/>
        <v>0.22499999999999998</v>
      </c>
      <c r="P28" s="5">
        <f t="shared" si="6"/>
        <v>0.15000000000000002</v>
      </c>
      <c r="Q28" s="5">
        <f t="shared" si="7"/>
        <v>0.12</v>
      </c>
      <c r="S28" s="11">
        <v>27</v>
      </c>
      <c r="T28" s="12" t="s">
        <v>28</v>
      </c>
      <c r="U28" s="5">
        <f t="shared" si="8"/>
        <v>0.79499999999999993</v>
      </c>
    </row>
    <row r="29" spans="1:21" x14ac:dyDescent="0.25">
      <c r="A29" s="11">
        <v>28</v>
      </c>
      <c r="B29" s="12" t="s">
        <v>29</v>
      </c>
      <c r="C29" s="5">
        <v>73000</v>
      </c>
      <c r="D29" s="5">
        <v>17</v>
      </c>
      <c r="E29" s="11">
        <v>3</v>
      </c>
      <c r="F29" s="11">
        <v>3</v>
      </c>
      <c r="G29" s="11">
        <v>3</v>
      </c>
      <c r="I29" s="5">
        <f t="shared" si="0"/>
        <v>0.26027397260273971</v>
      </c>
      <c r="J29" s="5">
        <f t="shared" si="1"/>
        <v>0.75</v>
      </c>
      <c r="K29" s="5">
        <f t="shared" si="2"/>
        <v>0.75</v>
      </c>
      <c r="L29" s="5">
        <f t="shared" si="3"/>
        <v>0.6</v>
      </c>
      <c r="N29" s="5">
        <f t="shared" si="4"/>
        <v>7.8082191780821916E-2</v>
      </c>
      <c r="O29" s="5">
        <f t="shared" si="5"/>
        <v>0.22499999999999998</v>
      </c>
      <c r="P29" s="5">
        <f t="shared" si="6"/>
        <v>0.15000000000000002</v>
      </c>
      <c r="Q29" s="5">
        <f t="shared" si="7"/>
        <v>0.12</v>
      </c>
      <c r="S29" s="11">
        <v>28</v>
      </c>
      <c r="T29" s="12" t="s">
        <v>29</v>
      </c>
      <c r="U29" s="5">
        <f t="shared" si="8"/>
        <v>0.57308219178082198</v>
      </c>
    </row>
    <row r="30" spans="1:21" x14ac:dyDescent="0.25">
      <c r="A30" s="11">
        <v>29</v>
      </c>
      <c r="B30" s="12" t="s">
        <v>30</v>
      </c>
      <c r="C30" s="5">
        <v>30000</v>
      </c>
      <c r="D30" s="5">
        <v>3</v>
      </c>
      <c r="E30" s="11">
        <v>2</v>
      </c>
      <c r="F30" s="11">
        <v>3</v>
      </c>
      <c r="G30" s="11">
        <v>5</v>
      </c>
      <c r="I30" s="5">
        <f t="shared" si="0"/>
        <v>0.6333333333333333</v>
      </c>
      <c r="J30" s="5">
        <f t="shared" si="1"/>
        <v>0.5</v>
      </c>
      <c r="K30" s="5">
        <f t="shared" si="2"/>
        <v>0.75</v>
      </c>
      <c r="L30" s="5">
        <f t="shared" si="3"/>
        <v>1</v>
      </c>
      <c r="N30" s="5">
        <f t="shared" si="4"/>
        <v>0.18999999999999997</v>
      </c>
      <c r="O30" s="5">
        <f t="shared" si="5"/>
        <v>0.15</v>
      </c>
      <c r="P30" s="5">
        <f t="shared" si="6"/>
        <v>0.15000000000000002</v>
      </c>
      <c r="Q30" s="5">
        <f t="shared" si="7"/>
        <v>0.2</v>
      </c>
      <c r="S30" s="11">
        <v>29</v>
      </c>
      <c r="T30" s="12" t="s">
        <v>30</v>
      </c>
      <c r="U30" s="5">
        <f t="shared" si="8"/>
        <v>0.69</v>
      </c>
    </row>
    <row r="31" spans="1:21" x14ac:dyDescent="0.25">
      <c r="A31" s="11">
        <v>30</v>
      </c>
      <c r="B31" s="12" t="s">
        <v>31</v>
      </c>
      <c r="C31" s="5">
        <v>35000</v>
      </c>
      <c r="D31" s="5">
        <v>9</v>
      </c>
      <c r="E31" s="11">
        <v>3</v>
      </c>
      <c r="F31" s="11">
        <v>3</v>
      </c>
      <c r="G31" s="11">
        <v>3</v>
      </c>
      <c r="I31" s="5">
        <f t="shared" si="0"/>
        <v>0.54285714285714282</v>
      </c>
      <c r="J31" s="5">
        <f t="shared" si="1"/>
        <v>0.75</v>
      </c>
      <c r="K31" s="5">
        <f t="shared" si="2"/>
        <v>0.75</v>
      </c>
      <c r="L31" s="5">
        <f t="shared" si="3"/>
        <v>0.6</v>
      </c>
      <c r="N31" s="5">
        <f t="shared" si="4"/>
        <v>0.16285714285714284</v>
      </c>
      <c r="O31" s="5">
        <f t="shared" si="5"/>
        <v>0.22499999999999998</v>
      </c>
      <c r="P31" s="5">
        <f t="shared" si="6"/>
        <v>0.15000000000000002</v>
      </c>
      <c r="Q31" s="5">
        <f t="shared" si="7"/>
        <v>0.12</v>
      </c>
      <c r="S31" s="11">
        <v>30</v>
      </c>
      <c r="T31" s="12" t="s">
        <v>31</v>
      </c>
      <c r="U31" s="5">
        <f t="shared" si="8"/>
        <v>0.65785714285714281</v>
      </c>
    </row>
    <row r="32" spans="1:21" x14ac:dyDescent="0.25">
      <c r="A32" s="11">
        <v>31</v>
      </c>
      <c r="B32" s="12" t="s">
        <v>32</v>
      </c>
      <c r="C32" s="5">
        <v>43000</v>
      </c>
      <c r="D32" s="5">
        <v>3</v>
      </c>
      <c r="E32" s="11">
        <v>2</v>
      </c>
      <c r="F32" s="11">
        <v>3</v>
      </c>
      <c r="G32" s="11">
        <v>5</v>
      </c>
      <c r="I32" s="5">
        <f t="shared" si="0"/>
        <v>0.44186046511627908</v>
      </c>
      <c r="J32" s="5">
        <f t="shared" si="1"/>
        <v>0.5</v>
      </c>
      <c r="K32" s="5">
        <f t="shared" si="2"/>
        <v>0.75</v>
      </c>
      <c r="L32" s="5">
        <f t="shared" si="3"/>
        <v>1</v>
      </c>
      <c r="N32" s="5">
        <f t="shared" si="4"/>
        <v>0.13255813953488371</v>
      </c>
      <c r="O32" s="5">
        <f t="shared" si="5"/>
        <v>0.15</v>
      </c>
      <c r="P32" s="5">
        <f t="shared" si="6"/>
        <v>0.15000000000000002</v>
      </c>
      <c r="Q32" s="5">
        <f t="shared" si="7"/>
        <v>0.2</v>
      </c>
      <c r="S32" s="11">
        <v>31</v>
      </c>
      <c r="T32" s="12" t="s">
        <v>32</v>
      </c>
      <c r="U32" s="5">
        <f t="shared" si="8"/>
        <v>0.63255813953488382</v>
      </c>
    </row>
    <row r="33" spans="1:21" x14ac:dyDescent="0.25">
      <c r="A33" s="11">
        <v>32</v>
      </c>
      <c r="B33" s="12" t="s">
        <v>33</v>
      </c>
      <c r="C33" s="5">
        <v>172000</v>
      </c>
      <c r="D33" s="5">
        <v>4</v>
      </c>
      <c r="E33" s="11">
        <v>3</v>
      </c>
      <c r="F33" s="11">
        <v>3</v>
      </c>
      <c r="G33" s="11">
        <v>3</v>
      </c>
      <c r="I33" s="5">
        <f t="shared" si="0"/>
        <v>0.11046511627906977</v>
      </c>
      <c r="J33" s="5">
        <f t="shared" si="1"/>
        <v>0.75</v>
      </c>
      <c r="K33" s="5">
        <f t="shared" si="2"/>
        <v>0.75</v>
      </c>
      <c r="L33" s="5">
        <f t="shared" si="3"/>
        <v>0.6</v>
      </c>
      <c r="N33" s="5">
        <f t="shared" si="4"/>
        <v>3.3139534883720928E-2</v>
      </c>
      <c r="O33" s="5">
        <f t="shared" si="5"/>
        <v>0.22499999999999998</v>
      </c>
      <c r="P33" s="5">
        <f t="shared" si="6"/>
        <v>0.15000000000000002</v>
      </c>
      <c r="Q33" s="5">
        <f t="shared" si="7"/>
        <v>0.12</v>
      </c>
      <c r="S33" s="11">
        <v>32</v>
      </c>
      <c r="T33" s="12" t="s">
        <v>33</v>
      </c>
      <c r="U33" s="5">
        <f t="shared" si="8"/>
        <v>0.5281395348837209</v>
      </c>
    </row>
    <row r="34" spans="1:21" x14ac:dyDescent="0.25">
      <c r="A34" s="11">
        <v>33</v>
      </c>
      <c r="B34" s="12" t="s">
        <v>34</v>
      </c>
      <c r="C34" s="5">
        <v>49000</v>
      </c>
      <c r="D34" s="5">
        <v>5</v>
      </c>
      <c r="E34" s="11">
        <v>3</v>
      </c>
      <c r="F34" s="11">
        <v>3</v>
      </c>
      <c r="G34" s="11">
        <v>3</v>
      </c>
      <c r="I34" s="5">
        <f t="shared" si="0"/>
        <v>0.38775510204081631</v>
      </c>
      <c r="J34" s="5">
        <f t="shared" si="1"/>
        <v>0.75</v>
      </c>
      <c r="K34" s="5">
        <f t="shared" si="2"/>
        <v>0.75</v>
      </c>
      <c r="L34" s="5">
        <f t="shared" si="3"/>
        <v>0.6</v>
      </c>
      <c r="N34" s="5">
        <f t="shared" si="4"/>
        <v>0.11632653061224489</v>
      </c>
      <c r="O34" s="5">
        <f t="shared" si="5"/>
        <v>0.22499999999999998</v>
      </c>
      <c r="P34" s="5">
        <f t="shared" si="6"/>
        <v>0.15000000000000002</v>
      </c>
      <c r="Q34" s="5">
        <f t="shared" si="7"/>
        <v>0.12</v>
      </c>
      <c r="S34" s="11">
        <v>33</v>
      </c>
      <c r="T34" s="12" t="s">
        <v>34</v>
      </c>
      <c r="U34" s="5">
        <f t="shared" si="8"/>
        <v>0.61132653061224485</v>
      </c>
    </row>
    <row r="35" spans="1:21" x14ac:dyDescent="0.25">
      <c r="A35" s="11">
        <v>34</v>
      </c>
      <c r="B35" s="12" t="s">
        <v>35</v>
      </c>
      <c r="C35" s="5">
        <v>72000</v>
      </c>
      <c r="D35" s="5">
        <v>5</v>
      </c>
      <c r="E35" s="11">
        <v>3</v>
      </c>
      <c r="F35" s="11">
        <v>3</v>
      </c>
      <c r="G35" s="11">
        <v>3</v>
      </c>
      <c r="I35" s="5">
        <f t="shared" si="0"/>
        <v>0.2638888888888889</v>
      </c>
      <c r="J35" s="5">
        <f t="shared" si="1"/>
        <v>0.75</v>
      </c>
      <c r="K35" s="5">
        <f t="shared" si="2"/>
        <v>0.75</v>
      </c>
      <c r="L35" s="5">
        <f t="shared" si="3"/>
        <v>0.6</v>
      </c>
      <c r="N35" s="5">
        <f t="shared" si="4"/>
        <v>7.9166666666666663E-2</v>
      </c>
      <c r="O35" s="5">
        <f t="shared" si="5"/>
        <v>0.22499999999999998</v>
      </c>
      <c r="P35" s="5">
        <f t="shared" si="6"/>
        <v>0.15000000000000002</v>
      </c>
      <c r="Q35" s="5">
        <f t="shared" si="7"/>
        <v>0.12</v>
      </c>
      <c r="S35" s="11">
        <v>34</v>
      </c>
      <c r="T35" s="12" t="s">
        <v>35</v>
      </c>
      <c r="U35" s="5">
        <f t="shared" si="8"/>
        <v>0.57416666666666671</v>
      </c>
    </row>
    <row r="36" spans="1:21" x14ac:dyDescent="0.25">
      <c r="A36" s="11">
        <v>35</v>
      </c>
      <c r="B36" s="12" t="s">
        <v>36</v>
      </c>
      <c r="C36" s="5">
        <v>24000</v>
      </c>
      <c r="D36" s="5">
        <v>2</v>
      </c>
      <c r="E36" s="11">
        <v>3</v>
      </c>
      <c r="F36" s="11">
        <v>3</v>
      </c>
      <c r="G36" s="11">
        <v>3</v>
      </c>
      <c r="I36" s="5">
        <f t="shared" si="0"/>
        <v>0.79166666666666663</v>
      </c>
      <c r="J36" s="5">
        <f t="shared" si="1"/>
        <v>0.75</v>
      </c>
      <c r="K36" s="5">
        <f t="shared" si="2"/>
        <v>0.75</v>
      </c>
      <c r="L36" s="5">
        <f t="shared" si="3"/>
        <v>0.6</v>
      </c>
      <c r="N36" s="5">
        <f t="shared" si="4"/>
        <v>0.23749999999999999</v>
      </c>
      <c r="O36" s="5">
        <f t="shared" si="5"/>
        <v>0.22499999999999998</v>
      </c>
      <c r="P36" s="5">
        <f t="shared" si="6"/>
        <v>0.15000000000000002</v>
      </c>
      <c r="Q36" s="5">
        <f t="shared" si="7"/>
        <v>0.12</v>
      </c>
      <c r="S36" s="11">
        <v>35</v>
      </c>
      <c r="T36" s="12" t="s">
        <v>36</v>
      </c>
      <c r="U36" s="5">
        <f t="shared" si="8"/>
        <v>0.73250000000000004</v>
      </c>
    </row>
    <row r="37" spans="1:21" x14ac:dyDescent="0.25">
      <c r="A37" s="11">
        <v>36</v>
      </c>
      <c r="B37" s="12" t="s">
        <v>37</v>
      </c>
      <c r="C37" s="5">
        <v>34000</v>
      </c>
      <c r="D37" s="5">
        <v>6</v>
      </c>
      <c r="E37" s="11">
        <v>3</v>
      </c>
      <c r="F37" s="11">
        <v>3</v>
      </c>
      <c r="G37" s="11">
        <v>3</v>
      </c>
      <c r="I37" s="5">
        <f t="shared" si="0"/>
        <v>0.55882352941176472</v>
      </c>
      <c r="J37" s="5">
        <f t="shared" si="1"/>
        <v>0.75</v>
      </c>
      <c r="K37" s="5">
        <f t="shared" si="2"/>
        <v>0.75</v>
      </c>
      <c r="L37" s="5">
        <f t="shared" si="3"/>
        <v>0.6</v>
      </c>
      <c r="N37" s="5">
        <f t="shared" si="4"/>
        <v>0.1676470588235294</v>
      </c>
      <c r="O37" s="5">
        <f t="shared" si="5"/>
        <v>0.22499999999999998</v>
      </c>
      <c r="P37" s="5">
        <f t="shared" si="6"/>
        <v>0.15000000000000002</v>
      </c>
      <c r="Q37" s="5">
        <f t="shared" si="7"/>
        <v>0.12</v>
      </c>
      <c r="S37" s="11">
        <v>36</v>
      </c>
      <c r="T37" s="12" t="s">
        <v>37</v>
      </c>
      <c r="U37" s="5">
        <f t="shared" si="8"/>
        <v>0.66264705882352937</v>
      </c>
    </row>
    <row r="38" spans="1:21" x14ac:dyDescent="0.25">
      <c r="A38" s="11">
        <v>37</v>
      </c>
      <c r="B38" s="12" t="s">
        <v>38</v>
      </c>
      <c r="C38" s="5">
        <v>72500</v>
      </c>
      <c r="D38" s="5">
        <v>2</v>
      </c>
      <c r="E38" s="11">
        <v>3</v>
      </c>
      <c r="F38" s="11">
        <v>3</v>
      </c>
      <c r="G38" s="11">
        <v>3</v>
      </c>
      <c r="I38" s="5">
        <f t="shared" si="0"/>
        <v>0.2620689655172414</v>
      </c>
      <c r="J38" s="5">
        <f t="shared" si="1"/>
        <v>0.75</v>
      </c>
      <c r="K38" s="5">
        <f t="shared" si="2"/>
        <v>0.75</v>
      </c>
      <c r="L38" s="5">
        <f t="shared" si="3"/>
        <v>0.6</v>
      </c>
      <c r="N38" s="5">
        <f t="shared" si="4"/>
        <v>7.8620689655172424E-2</v>
      </c>
      <c r="O38" s="5">
        <f t="shared" si="5"/>
        <v>0.22499999999999998</v>
      </c>
      <c r="P38" s="5">
        <f t="shared" si="6"/>
        <v>0.15000000000000002</v>
      </c>
      <c r="Q38" s="5">
        <f t="shared" si="7"/>
        <v>0.12</v>
      </c>
      <c r="S38" s="11">
        <v>37</v>
      </c>
      <c r="T38" s="12" t="s">
        <v>38</v>
      </c>
      <c r="U38" s="5">
        <f t="shared" si="8"/>
        <v>0.57362068965517243</v>
      </c>
    </row>
    <row r="39" spans="1:21" x14ac:dyDescent="0.25">
      <c r="A39" s="11">
        <v>38</v>
      </c>
      <c r="B39" s="12" t="s">
        <v>39</v>
      </c>
      <c r="C39" s="5">
        <v>62000</v>
      </c>
      <c r="D39" s="5">
        <v>8</v>
      </c>
      <c r="E39" s="11">
        <v>3</v>
      </c>
      <c r="F39" s="11">
        <v>3</v>
      </c>
      <c r="G39" s="11">
        <v>3</v>
      </c>
      <c r="I39" s="5">
        <f t="shared" si="0"/>
        <v>0.30645161290322581</v>
      </c>
      <c r="J39" s="5">
        <f t="shared" si="1"/>
        <v>0.75</v>
      </c>
      <c r="K39" s="5">
        <f t="shared" si="2"/>
        <v>0.75</v>
      </c>
      <c r="L39" s="5">
        <f t="shared" si="3"/>
        <v>0.6</v>
      </c>
      <c r="N39" s="5">
        <f t="shared" si="4"/>
        <v>9.1935483870967741E-2</v>
      </c>
      <c r="O39" s="5">
        <f t="shared" si="5"/>
        <v>0.22499999999999998</v>
      </c>
      <c r="P39" s="5">
        <f t="shared" si="6"/>
        <v>0.15000000000000002</v>
      </c>
      <c r="Q39" s="5">
        <f t="shared" si="7"/>
        <v>0.12</v>
      </c>
      <c r="S39" s="11">
        <v>38</v>
      </c>
      <c r="T39" s="12" t="s">
        <v>39</v>
      </c>
      <c r="U39" s="5">
        <f t="shared" si="8"/>
        <v>0.58693548387096772</v>
      </c>
    </row>
    <row r="40" spans="1:21" x14ac:dyDescent="0.25">
      <c r="A40" s="11">
        <v>39</v>
      </c>
      <c r="B40" s="12" t="s">
        <v>40</v>
      </c>
      <c r="C40" s="5">
        <v>43000</v>
      </c>
      <c r="D40" s="5">
        <v>4</v>
      </c>
      <c r="E40" s="11">
        <v>3</v>
      </c>
      <c r="F40" s="11">
        <v>3</v>
      </c>
      <c r="G40" s="11">
        <v>3</v>
      </c>
      <c r="I40" s="5">
        <f t="shared" si="0"/>
        <v>0.44186046511627908</v>
      </c>
      <c r="J40" s="5">
        <f t="shared" si="1"/>
        <v>0.75</v>
      </c>
      <c r="K40" s="5">
        <f t="shared" si="2"/>
        <v>0.75</v>
      </c>
      <c r="L40" s="5">
        <f t="shared" si="3"/>
        <v>0.6</v>
      </c>
      <c r="N40" s="5">
        <f t="shared" si="4"/>
        <v>0.13255813953488371</v>
      </c>
      <c r="O40" s="5">
        <f t="shared" si="5"/>
        <v>0.22499999999999998</v>
      </c>
      <c r="P40" s="5">
        <f t="shared" si="6"/>
        <v>0.15000000000000002</v>
      </c>
      <c r="Q40" s="5">
        <f t="shared" si="7"/>
        <v>0.12</v>
      </c>
      <c r="S40" s="11">
        <v>39</v>
      </c>
      <c r="T40" s="14" t="s">
        <v>40</v>
      </c>
      <c r="U40" s="5">
        <f t="shared" si="8"/>
        <v>0.62755813953488371</v>
      </c>
    </row>
    <row r="41" spans="1:21" x14ac:dyDescent="0.25">
      <c r="A41" s="13">
        <v>40</v>
      </c>
      <c r="B41" s="14" t="s">
        <v>41</v>
      </c>
      <c r="C41" s="15">
        <v>24500</v>
      </c>
      <c r="D41" s="15">
        <v>3</v>
      </c>
      <c r="E41" s="13">
        <v>3</v>
      </c>
      <c r="F41" s="13">
        <v>3</v>
      </c>
      <c r="G41" s="13">
        <v>3</v>
      </c>
      <c r="I41" s="5">
        <f t="shared" si="0"/>
        <v>0.77551020408163263</v>
      </c>
      <c r="J41" s="5">
        <f t="shared" si="1"/>
        <v>0.75</v>
      </c>
      <c r="K41" s="5">
        <f t="shared" si="2"/>
        <v>0.75</v>
      </c>
      <c r="L41" s="5">
        <f t="shared" si="3"/>
        <v>0.6</v>
      </c>
      <c r="N41" s="5">
        <f t="shared" si="4"/>
        <v>0.23265306122448978</v>
      </c>
      <c r="O41" s="5">
        <f t="shared" si="5"/>
        <v>0.22499999999999998</v>
      </c>
      <c r="P41" s="5">
        <f t="shared" si="6"/>
        <v>0.15000000000000002</v>
      </c>
      <c r="Q41" s="5">
        <f t="shared" si="7"/>
        <v>0.12</v>
      </c>
      <c r="S41" s="12">
        <v>40</v>
      </c>
      <c r="T41" s="8" t="s">
        <v>41</v>
      </c>
      <c r="U41" s="5">
        <f t="shared" si="8"/>
        <v>0.72765306122448981</v>
      </c>
    </row>
    <row r="42" spans="1:21" x14ac:dyDescent="0.25">
      <c r="A42" s="19" t="s">
        <v>71</v>
      </c>
      <c r="B42" s="19"/>
      <c r="C42" s="17">
        <f>MIN(C2:C41)</f>
        <v>19000</v>
      </c>
      <c r="D42" s="18"/>
      <c r="E42" s="5">
        <f>MAX(E2:E41)</f>
        <v>4</v>
      </c>
      <c r="F42" s="5">
        <f>MAX(F2:F41)</f>
        <v>4</v>
      </c>
      <c r="G42" s="5">
        <f>MAX(G2:G41)</f>
        <v>5</v>
      </c>
      <c r="I42" s="5"/>
    </row>
    <row r="43" spans="1:21" x14ac:dyDescent="0.25">
      <c r="T43" s="9" t="s">
        <v>68</v>
      </c>
    </row>
    <row r="44" spans="1:21" x14ac:dyDescent="0.25">
      <c r="B44" s="9" t="s">
        <v>56</v>
      </c>
      <c r="I44" s="9" t="s">
        <v>70</v>
      </c>
      <c r="N44" s="9" t="s">
        <v>64</v>
      </c>
    </row>
    <row r="45" spans="1:21" x14ac:dyDescent="0.25">
      <c r="B45" s="9" t="s">
        <v>57</v>
      </c>
      <c r="I45" s="9" t="s">
        <v>60</v>
      </c>
      <c r="N45" s="9" t="s">
        <v>65</v>
      </c>
    </row>
    <row r="46" spans="1:21" x14ac:dyDescent="0.25">
      <c r="B46" s="9" t="s">
        <v>58</v>
      </c>
      <c r="I46" s="9" t="s">
        <v>62</v>
      </c>
      <c r="N46" s="9" t="s">
        <v>66</v>
      </c>
    </row>
    <row r="47" spans="1:21" x14ac:dyDescent="0.25">
      <c r="A47" s="9" t="s">
        <v>69</v>
      </c>
      <c r="B47" s="9" t="s">
        <v>59</v>
      </c>
      <c r="I47" s="9" t="s">
        <v>63</v>
      </c>
      <c r="N47" s="9" t="s">
        <v>67</v>
      </c>
    </row>
  </sheetData>
  <mergeCells count="2">
    <mergeCell ref="C42:D42"/>
    <mergeCell ref="A42:B4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7551-CF54-479D-B9F7-1E1E9BB72890}">
  <dimension ref="A1:Q25"/>
  <sheetViews>
    <sheetView tabSelected="1" workbookViewId="0">
      <selection activeCell="I23" sqref="I23"/>
    </sheetView>
  </sheetViews>
  <sheetFormatPr defaultRowHeight="15" x14ac:dyDescent="0.25"/>
  <cols>
    <col min="1" max="1" width="45.28515625" customWidth="1"/>
  </cols>
  <sheetData>
    <row r="1" spans="1:17" ht="15.75" x14ac:dyDescent="0.25">
      <c r="A1" s="5" t="s">
        <v>4</v>
      </c>
      <c r="B1" s="5">
        <v>25000</v>
      </c>
      <c r="C1" s="5">
        <v>10</v>
      </c>
      <c r="D1" s="5">
        <v>3</v>
      </c>
      <c r="E1" s="5">
        <v>3</v>
      </c>
      <c r="F1" s="5">
        <v>3</v>
      </c>
      <c r="G1" s="21">
        <f>19000/B1</f>
        <v>0.76</v>
      </c>
      <c r="H1" s="21">
        <f>D1/4</f>
        <v>0.75</v>
      </c>
      <c r="I1" s="21">
        <f>E1/4</f>
        <v>0.75</v>
      </c>
      <c r="J1" s="21">
        <f>F1/5</f>
        <v>0.6</v>
      </c>
    </row>
    <row r="2" spans="1:17" ht="15.75" x14ac:dyDescent="0.25">
      <c r="A2" s="5" t="s">
        <v>31</v>
      </c>
      <c r="B2" s="5">
        <v>35000</v>
      </c>
      <c r="C2" s="5">
        <v>9</v>
      </c>
      <c r="D2" s="5">
        <v>3</v>
      </c>
      <c r="E2" s="5">
        <v>3</v>
      </c>
      <c r="F2" s="5">
        <v>3</v>
      </c>
      <c r="G2" s="21">
        <f t="shared" ref="G2:G5" si="0">19000/B2</f>
        <v>0.54285714285714282</v>
      </c>
      <c r="H2" s="21">
        <f t="shared" ref="H2:H5" si="1">D2/4</f>
        <v>0.75</v>
      </c>
      <c r="I2" s="21">
        <f t="shared" ref="I2:I5" si="2">E2/4</f>
        <v>0.75</v>
      </c>
      <c r="J2" s="21">
        <f t="shared" ref="J2:J5" si="3">F2/5</f>
        <v>0.6</v>
      </c>
      <c r="L2" t="s">
        <v>75</v>
      </c>
    </row>
    <row r="3" spans="1:17" ht="15.75" x14ac:dyDescent="0.25">
      <c r="A3" s="5" t="s">
        <v>29</v>
      </c>
      <c r="B3" s="5">
        <v>73000</v>
      </c>
      <c r="C3" s="5">
        <v>17</v>
      </c>
      <c r="D3" s="5">
        <v>3</v>
      </c>
      <c r="E3" s="5">
        <v>3</v>
      </c>
      <c r="F3" s="5">
        <v>3</v>
      </c>
      <c r="G3" s="21">
        <f t="shared" si="0"/>
        <v>0.26027397260273971</v>
      </c>
      <c r="H3" s="21">
        <f t="shared" si="1"/>
        <v>0.75</v>
      </c>
      <c r="I3" s="21">
        <f t="shared" si="2"/>
        <v>0.75</v>
      </c>
      <c r="J3" s="21">
        <f t="shared" si="3"/>
        <v>0.6</v>
      </c>
    </row>
    <row r="4" spans="1:17" ht="15.75" x14ac:dyDescent="0.25">
      <c r="A4" s="5" t="s">
        <v>16</v>
      </c>
      <c r="B4" s="5">
        <v>21000</v>
      </c>
      <c r="C4" s="5">
        <v>11</v>
      </c>
      <c r="D4" s="5">
        <v>3</v>
      </c>
      <c r="E4" s="5">
        <v>4</v>
      </c>
      <c r="F4" s="5">
        <v>3</v>
      </c>
      <c r="G4" s="21">
        <f t="shared" si="0"/>
        <v>0.90476190476190477</v>
      </c>
      <c r="H4" s="21">
        <f t="shared" si="1"/>
        <v>0.75</v>
      </c>
      <c r="I4" s="21">
        <f t="shared" si="2"/>
        <v>1</v>
      </c>
      <c r="J4" s="21">
        <f t="shared" si="3"/>
        <v>0.6</v>
      </c>
    </row>
    <row r="5" spans="1:17" ht="15.75" x14ac:dyDescent="0.25">
      <c r="A5" s="5" t="s">
        <v>8</v>
      </c>
      <c r="B5" s="5">
        <v>38000</v>
      </c>
      <c r="C5" s="5">
        <v>6</v>
      </c>
      <c r="D5" s="5">
        <v>3</v>
      </c>
      <c r="E5" s="5">
        <v>3</v>
      </c>
      <c r="F5" s="5">
        <v>3</v>
      </c>
      <c r="G5" s="21">
        <f t="shared" si="0"/>
        <v>0.5</v>
      </c>
      <c r="H5" s="21">
        <f t="shared" si="1"/>
        <v>0.75</v>
      </c>
      <c r="I5" s="21">
        <f t="shared" si="2"/>
        <v>0.75</v>
      </c>
      <c r="J5" s="21">
        <f t="shared" si="3"/>
        <v>0.6</v>
      </c>
    </row>
    <row r="8" spans="1:17" ht="15.75" x14ac:dyDescent="0.25">
      <c r="A8" s="5" t="s">
        <v>4</v>
      </c>
      <c r="B8" s="5">
        <v>25000</v>
      </c>
      <c r="C8" s="5">
        <v>10</v>
      </c>
      <c r="D8" s="5">
        <v>3</v>
      </c>
      <c r="E8" s="5">
        <v>3</v>
      </c>
      <c r="F8" s="5">
        <v>3</v>
      </c>
      <c r="G8" s="20">
        <v>0.76</v>
      </c>
      <c r="H8" s="20">
        <v>0.75</v>
      </c>
      <c r="I8" s="20">
        <v>0.75</v>
      </c>
      <c r="J8" s="20">
        <v>0.6</v>
      </c>
      <c r="K8" s="21">
        <f>G8*0.3</f>
        <v>0.22799999999999998</v>
      </c>
      <c r="L8" s="21">
        <f>H8*0.3</f>
        <v>0.22499999999999998</v>
      </c>
      <c r="M8" s="21">
        <f>I8*0.2</f>
        <v>0.15000000000000002</v>
      </c>
      <c r="N8" s="21">
        <f>J8*0.2</f>
        <v>0.12</v>
      </c>
    </row>
    <row r="9" spans="1:17" ht="15.75" x14ac:dyDescent="0.25">
      <c r="A9" s="5" t="s">
        <v>31</v>
      </c>
      <c r="B9" s="5">
        <v>35000</v>
      </c>
      <c r="C9" s="5">
        <v>9</v>
      </c>
      <c r="D9" s="5">
        <v>3</v>
      </c>
      <c r="E9" s="5">
        <v>3</v>
      </c>
      <c r="F9" s="5">
        <v>3</v>
      </c>
      <c r="G9" s="20">
        <v>0.54285714285714282</v>
      </c>
      <c r="H9" s="20">
        <v>0.75</v>
      </c>
      <c r="I9" s="20">
        <v>0.75</v>
      </c>
      <c r="J9" s="20">
        <v>0.6</v>
      </c>
      <c r="K9" s="21">
        <f t="shared" ref="K9:K12" si="4">G9*0.3</f>
        <v>0.16285714285714284</v>
      </c>
      <c r="L9" s="21">
        <f t="shared" ref="L9:L12" si="5">H9*0.3</f>
        <v>0.22499999999999998</v>
      </c>
      <c r="M9" s="21">
        <f t="shared" ref="M9:M12" si="6">I9*0.2</f>
        <v>0.15000000000000002</v>
      </c>
      <c r="N9" s="21">
        <f t="shared" ref="N9:N12" si="7">J9*0.2</f>
        <v>0.12</v>
      </c>
      <c r="P9" t="s">
        <v>76</v>
      </c>
    </row>
    <row r="10" spans="1:17" ht="15.75" x14ac:dyDescent="0.25">
      <c r="A10" s="5" t="s">
        <v>29</v>
      </c>
      <c r="B10" s="5">
        <v>73000</v>
      </c>
      <c r="C10" s="5">
        <v>17</v>
      </c>
      <c r="D10" s="5">
        <v>3</v>
      </c>
      <c r="E10" s="5">
        <v>3</v>
      </c>
      <c r="F10" s="5">
        <v>3</v>
      </c>
      <c r="G10" s="20">
        <v>0.26027397260273971</v>
      </c>
      <c r="H10" s="20">
        <v>0.75</v>
      </c>
      <c r="I10" s="20">
        <v>0.75</v>
      </c>
      <c r="J10" s="20">
        <v>0.6</v>
      </c>
      <c r="K10" s="21">
        <f t="shared" si="4"/>
        <v>7.8082191780821916E-2</v>
      </c>
      <c r="L10" s="21">
        <f t="shared" si="5"/>
        <v>0.22499999999999998</v>
      </c>
      <c r="M10" s="21">
        <f t="shared" si="6"/>
        <v>0.15000000000000002</v>
      </c>
      <c r="N10" s="21">
        <f t="shared" si="7"/>
        <v>0.12</v>
      </c>
    </row>
    <row r="11" spans="1:17" ht="15.75" x14ac:dyDescent="0.25">
      <c r="A11" s="5" t="s">
        <v>16</v>
      </c>
      <c r="B11" s="5">
        <v>21000</v>
      </c>
      <c r="C11" s="5">
        <v>11</v>
      </c>
      <c r="D11" s="5">
        <v>3</v>
      </c>
      <c r="E11" s="5">
        <v>4</v>
      </c>
      <c r="F11" s="5">
        <v>3</v>
      </c>
      <c r="G11" s="20">
        <v>0.90476190476190477</v>
      </c>
      <c r="H11" s="20">
        <v>0.75</v>
      </c>
      <c r="I11" s="20">
        <v>1</v>
      </c>
      <c r="J11" s="20">
        <v>0.6</v>
      </c>
      <c r="K11" s="21">
        <f t="shared" si="4"/>
        <v>0.27142857142857141</v>
      </c>
      <c r="L11" s="21">
        <f t="shared" si="5"/>
        <v>0.22499999999999998</v>
      </c>
      <c r="M11" s="21">
        <f t="shared" si="6"/>
        <v>0.2</v>
      </c>
      <c r="N11" s="21">
        <f t="shared" si="7"/>
        <v>0.12</v>
      </c>
    </row>
    <row r="12" spans="1:17" ht="15.75" x14ac:dyDescent="0.25">
      <c r="A12" s="5" t="s">
        <v>8</v>
      </c>
      <c r="B12" s="5">
        <v>38000</v>
      </c>
      <c r="C12" s="5">
        <v>6</v>
      </c>
      <c r="D12" s="5">
        <v>3</v>
      </c>
      <c r="E12" s="5">
        <v>3</v>
      </c>
      <c r="F12" s="5">
        <v>3</v>
      </c>
      <c r="G12" s="20">
        <v>0.5</v>
      </c>
      <c r="H12" s="20">
        <v>0.75</v>
      </c>
      <c r="I12" s="20">
        <v>0.75</v>
      </c>
      <c r="J12" s="20">
        <v>0.6</v>
      </c>
      <c r="K12" s="21">
        <f t="shared" si="4"/>
        <v>0.15</v>
      </c>
      <c r="L12" s="21">
        <f t="shared" si="5"/>
        <v>0.22499999999999998</v>
      </c>
      <c r="M12" s="21">
        <f t="shared" si="6"/>
        <v>0.15000000000000002</v>
      </c>
      <c r="N12" s="21">
        <f t="shared" si="7"/>
        <v>0.12</v>
      </c>
    </row>
    <row r="14" spans="1:17" ht="15.75" x14ac:dyDescent="0.25">
      <c r="A14" s="5" t="s">
        <v>4</v>
      </c>
      <c r="B14" s="5">
        <v>25000</v>
      </c>
      <c r="C14" s="5">
        <v>10</v>
      </c>
      <c r="D14" s="5">
        <v>3</v>
      </c>
      <c r="E14" s="5">
        <v>3</v>
      </c>
      <c r="F14" s="5">
        <v>3</v>
      </c>
      <c r="G14" s="20">
        <v>0.76</v>
      </c>
      <c r="H14" s="20">
        <v>0.75</v>
      </c>
      <c r="I14" s="20">
        <v>0.75</v>
      </c>
      <c r="J14" s="20">
        <v>0.6</v>
      </c>
      <c r="K14" s="22">
        <f>G14*0.3</f>
        <v>0.22799999999999998</v>
      </c>
      <c r="L14" s="22">
        <f>H14*0.3</f>
        <v>0.22499999999999998</v>
      </c>
      <c r="M14" s="22">
        <f>I14*0.2</f>
        <v>0.15000000000000002</v>
      </c>
      <c r="N14" s="22">
        <f>J14*0.2</f>
        <v>0.12</v>
      </c>
      <c r="O14" s="21">
        <f>SUM(K14:N14)</f>
        <v>0.72299999999999998</v>
      </c>
    </row>
    <row r="15" spans="1:17" ht="15.75" x14ac:dyDescent="0.25">
      <c r="A15" s="5" t="s">
        <v>31</v>
      </c>
      <c r="B15" s="5">
        <v>35000</v>
      </c>
      <c r="C15" s="5">
        <v>9</v>
      </c>
      <c r="D15" s="5">
        <v>3</v>
      </c>
      <c r="E15" s="5">
        <v>3</v>
      </c>
      <c r="F15" s="5">
        <v>3</v>
      </c>
      <c r="G15" s="20">
        <v>0.54285714285714282</v>
      </c>
      <c r="H15" s="20">
        <v>0.75</v>
      </c>
      <c r="I15" s="20">
        <v>0.75</v>
      </c>
      <c r="J15" s="20">
        <v>0.6</v>
      </c>
      <c r="K15" s="22">
        <f t="shared" ref="K15:K18" si="8">G15*0.3</f>
        <v>0.16285714285714284</v>
      </c>
      <c r="L15" s="22">
        <f t="shared" ref="L15:L18" si="9">H15*0.3</f>
        <v>0.22499999999999998</v>
      </c>
      <c r="M15" s="22">
        <f t="shared" ref="M15:M18" si="10">I15*0.2</f>
        <v>0.15000000000000002</v>
      </c>
      <c r="N15" s="22">
        <f t="shared" ref="N15:N18" si="11">J15*0.2</f>
        <v>0.12</v>
      </c>
      <c r="O15" s="21">
        <f t="shared" ref="O15:O18" si="12">SUM(K15:N15)</f>
        <v>0.65785714285714281</v>
      </c>
      <c r="Q15" t="s">
        <v>76</v>
      </c>
    </row>
    <row r="16" spans="1:17" ht="15.75" x14ac:dyDescent="0.25">
      <c r="A16" s="5" t="s">
        <v>29</v>
      </c>
      <c r="B16" s="5">
        <v>73000</v>
      </c>
      <c r="C16" s="5">
        <v>17</v>
      </c>
      <c r="D16" s="5">
        <v>3</v>
      </c>
      <c r="E16" s="5">
        <v>3</v>
      </c>
      <c r="F16" s="5">
        <v>3</v>
      </c>
      <c r="G16" s="20">
        <v>0.26027397260273971</v>
      </c>
      <c r="H16" s="20">
        <v>0.75</v>
      </c>
      <c r="I16" s="20">
        <v>0.75</v>
      </c>
      <c r="J16" s="20">
        <v>0.6</v>
      </c>
      <c r="K16" s="22">
        <f t="shared" si="8"/>
        <v>7.8082191780821916E-2</v>
      </c>
      <c r="L16" s="22">
        <f t="shared" si="9"/>
        <v>0.22499999999999998</v>
      </c>
      <c r="M16" s="22">
        <f t="shared" si="10"/>
        <v>0.15000000000000002</v>
      </c>
      <c r="N16" s="22">
        <f t="shared" si="11"/>
        <v>0.12</v>
      </c>
      <c r="O16" s="21">
        <f t="shared" si="12"/>
        <v>0.57308219178082198</v>
      </c>
    </row>
    <row r="17" spans="1:15" ht="15.75" x14ac:dyDescent="0.25">
      <c r="A17" s="5" t="s">
        <v>16</v>
      </c>
      <c r="B17" s="5">
        <v>21000</v>
      </c>
      <c r="C17" s="5">
        <v>11</v>
      </c>
      <c r="D17" s="5">
        <v>3</v>
      </c>
      <c r="E17" s="5">
        <v>4</v>
      </c>
      <c r="F17" s="5">
        <v>3</v>
      </c>
      <c r="G17" s="20">
        <v>0.90476190476190477</v>
      </c>
      <c r="H17" s="20">
        <v>0.75</v>
      </c>
      <c r="I17" s="20">
        <v>1</v>
      </c>
      <c r="J17" s="20">
        <v>0.6</v>
      </c>
      <c r="K17" s="22">
        <f t="shared" si="8"/>
        <v>0.27142857142857141</v>
      </c>
      <c r="L17" s="22">
        <f t="shared" si="9"/>
        <v>0.22499999999999998</v>
      </c>
      <c r="M17" s="22">
        <f t="shared" si="10"/>
        <v>0.2</v>
      </c>
      <c r="N17" s="22">
        <f t="shared" si="11"/>
        <v>0.12</v>
      </c>
      <c r="O17" s="21">
        <f t="shared" si="12"/>
        <v>0.81642857142857139</v>
      </c>
    </row>
    <row r="18" spans="1:15" ht="15.75" x14ac:dyDescent="0.25">
      <c r="A18" s="5" t="s">
        <v>8</v>
      </c>
      <c r="B18" s="5">
        <v>38000</v>
      </c>
      <c r="C18" s="5">
        <v>6</v>
      </c>
      <c r="D18" s="5">
        <v>3</v>
      </c>
      <c r="E18" s="5">
        <v>3</v>
      </c>
      <c r="F18" s="5">
        <v>3</v>
      </c>
      <c r="G18" s="20">
        <v>0.5</v>
      </c>
      <c r="H18" s="20">
        <v>0.75</v>
      </c>
      <c r="I18" s="20">
        <v>0.75</v>
      </c>
      <c r="J18" s="20">
        <v>0.6</v>
      </c>
      <c r="K18" s="22">
        <f t="shared" si="8"/>
        <v>0.15</v>
      </c>
      <c r="L18" s="22">
        <f t="shared" si="9"/>
        <v>0.22499999999999998</v>
      </c>
      <c r="M18" s="22">
        <f t="shared" si="10"/>
        <v>0.15000000000000002</v>
      </c>
      <c r="N18" s="22">
        <f t="shared" si="11"/>
        <v>0.12</v>
      </c>
      <c r="O18" s="21">
        <f t="shared" si="12"/>
        <v>0.64500000000000002</v>
      </c>
    </row>
    <row r="21" spans="1:15" ht="15.75" x14ac:dyDescent="0.25">
      <c r="A21" s="5" t="s">
        <v>4</v>
      </c>
      <c r="B21" s="20">
        <v>0.72299999999999998</v>
      </c>
      <c r="C21" s="21">
        <f>RANK(B21,$B$21:$B$25,0)</f>
        <v>2</v>
      </c>
    </row>
    <row r="22" spans="1:15" ht="15.75" x14ac:dyDescent="0.25">
      <c r="A22" s="5" t="s">
        <v>31</v>
      </c>
      <c r="B22" s="20">
        <v>0.65785714285714281</v>
      </c>
      <c r="C22" s="21">
        <f>RANK(B22,$B$21:$B$25,0)</f>
        <v>3</v>
      </c>
      <c r="E22" t="s">
        <v>77</v>
      </c>
    </row>
    <row r="23" spans="1:15" ht="15.75" x14ac:dyDescent="0.25">
      <c r="A23" s="5" t="s">
        <v>29</v>
      </c>
      <c r="B23" s="20">
        <v>0.57308219178082198</v>
      </c>
      <c r="C23" s="21">
        <f t="shared" ref="C23:C25" si="13">RANK(B23,$B$21:$B$25,0)</f>
        <v>5</v>
      </c>
    </row>
    <row r="24" spans="1:15" ht="15.75" x14ac:dyDescent="0.25">
      <c r="A24" s="5" t="s">
        <v>16</v>
      </c>
      <c r="B24" s="20">
        <v>0.81642857142857139</v>
      </c>
      <c r="C24" s="21">
        <f t="shared" si="13"/>
        <v>1</v>
      </c>
    </row>
    <row r="25" spans="1:15" ht="15.75" x14ac:dyDescent="0.25">
      <c r="A25" s="5" t="s">
        <v>8</v>
      </c>
      <c r="B25" s="20">
        <v>0.64500000000000002</v>
      </c>
      <c r="C25" s="21">
        <f t="shared" si="13"/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B639-13D0-4479-8577-6BB49FC73CA5}">
  <dimension ref="A1:K48"/>
  <sheetViews>
    <sheetView topLeftCell="F2" zoomScale="95" workbookViewId="0">
      <selection activeCell="M6" sqref="M6"/>
    </sheetView>
  </sheetViews>
  <sheetFormatPr defaultRowHeight="15" x14ac:dyDescent="0.25"/>
  <cols>
    <col min="1" max="1" width="33.85546875" customWidth="1"/>
    <col min="2" max="2" width="22.5703125" customWidth="1"/>
    <col min="4" max="4" width="33.140625" customWidth="1"/>
    <col min="5" max="5" width="20.28515625" customWidth="1"/>
    <col min="7" max="7" width="31.140625" customWidth="1"/>
    <col min="8" max="8" width="25.42578125" customWidth="1"/>
    <col min="10" max="10" width="39.5703125" customWidth="1"/>
    <col min="11" max="11" width="24.42578125" customWidth="1"/>
  </cols>
  <sheetData>
    <row r="1" spans="1:11" ht="15.75" x14ac:dyDescent="0.25">
      <c r="A1" s="8" t="s">
        <v>1</v>
      </c>
      <c r="B1" s="5" t="s">
        <v>47</v>
      </c>
      <c r="C1" s="9"/>
      <c r="D1" s="5" t="s">
        <v>1</v>
      </c>
      <c r="E1" s="5" t="s">
        <v>48</v>
      </c>
      <c r="F1" s="9"/>
      <c r="G1" s="5" t="s">
        <v>1</v>
      </c>
      <c r="H1" s="5" t="s">
        <v>49</v>
      </c>
      <c r="I1" s="9"/>
      <c r="J1" s="5" t="s">
        <v>1</v>
      </c>
      <c r="K1" s="5" t="s">
        <v>50</v>
      </c>
    </row>
    <row r="2" spans="1:11" ht="15.75" x14ac:dyDescent="0.25">
      <c r="A2" s="8" t="s">
        <v>2</v>
      </c>
      <c r="B2" s="5">
        <v>0.54285714285714282</v>
      </c>
      <c r="C2" s="9"/>
      <c r="D2" s="5" t="s">
        <v>2</v>
      </c>
      <c r="E2" s="5">
        <v>0.75</v>
      </c>
      <c r="F2" s="9"/>
      <c r="G2" s="5" t="s">
        <v>2</v>
      </c>
      <c r="H2" s="5">
        <v>0.75</v>
      </c>
      <c r="I2" s="9"/>
      <c r="J2" s="5" t="s">
        <v>2</v>
      </c>
      <c r="K2" s="5">
        <v>0.6</v>
      </c>
    </row>
    <row r="3" spans="1:11" ht="15.75" x14ac:dyDescent="0.25">
      <c r="A3" s="8" t="s">
        <v>3</v>
      </c>
      <c r="B3" s="5">
        <v>0.39583333333333331</v>
      </c>
      <c r="C3" s="9"/>
      <c r="D3" s="5" t="s">
        <v>3</v>
      </c>
      <c r="E3" s="5">
        <v>1</v>
      </c>
      <c r="F3" s="9"/>
      <c r="G3" s="5" t="s">
        <v>3</v>
      </c>
      <c r="H3" s="5">
        <v>0.75</v>
      </c>
      <c r="I3" s="9"/>
      <c r="J3" s="5" t="s">
        <v>3</v>
      </c>
      <c r="K3" s="5">
        <v>0.6</v>
      </c>
    </row>
    <row r="4" spans="1:11" ht="15.75" x14ac:dyDescent="0.25">
      <c r="A4" s="8" t="s">
        <v>4</v>
      </c>
      <c r="B4" s="5">
        <v>0.76</v>
      </c>
      <c r="C4" s="9"/>
      <c r="D4" s="5" t="s">
        <v>4</v>
      </c>
      <c r="E4" s="5">
        <v>0.75</v>
      </c>
      <c r="F4" s="9"/>
      <c r="G4" s="5" t="s">
        <v>4</v>
      </c>
      <c r="H4" s="5">
        <v>0.75</v>
      </c>
      <c r="I4" s="9"/>
      <c r="J4" s="5" t="s">
        <v>4</v>
      </c>
      <c r="K4" s="5">
        <v>0.6</v>
      </c>
    </row>
    <row r="5" spans="1:11" ht="15.75" x14ac:dyDescent="0.25">
      <c r="A5" s="8" t="s">
        <v>5</v>
      </c>
      <c r="B5" s="5">
        <v>0.95</v>
      </c>
      <c r="C5" s="9"/>
      <c r="D5" s="5" t="s">
        <v>5</v>
      </c>
      <c r="E5" s="5">
        <v>0.75</v>
      </c>
      <c r="F5" s="9"/>
      <c r="G5" s="5" t="s">
        <v>5</v>
      </c>
      <c r="H5" s="5">
        <v>0.75</v>
      </c>
      <c r="I5" s="9"/>
      <c r="J5" s="5" t="s">
        <v>5</v>
      </c>
      <c r="K5" s="5">
        <v>0.6</v>
      </c>
    </row>
    <row r="6" spans="1:11" ht="15.75" x14ac:dyDescent="0.25">
      <c r="A6" s="8" t="s">
        <v>6</v>
      </c>
      <c r="B6" s="5">
        <v>0.82608695652173914</v>
      </c>
      <c r="C6" s="9"/>
      <c r="D6" s="5" t="s">
        <v>6</v>
      </c>
      <c r="E6" s="5">
        <v>0.75</v>
      </c>
      <c r="F6" s="9"/>
      <c r="G6" s="5" t="s">
        <v>6</v>
      </c>
      <c r="H6" s="5">
        <v>0.75</v>
      </c>
      <c r="I6" s="9"/>
      <c r="J6" s="5" t="s">
        <v>6</v>
      </c>
      <c r="K6" s="5">
        <v>0.6</v>
      </c>
    </row>
    <row r="7" spans="1:11" ht="15.75" x14ac:dyDescent="0.25">
      <c r="A7" s="8" t="s">
        <v>7</v>
      </c>
      <c r="B7" s="5">
        <v>0.296875</v>
      </c>
      <c r="C7" s="9"/>
      <c r="D7" s="5" t="s">
        <v>7</v>
      </c>
      <c r="E7" s="5">
        <v>0.75</v>
      </c>
      <c r="F7" s="9"/>
      <c r="G7" s="5" t="s">
        <v>7</v>
      </c>
      <c r="H7" s="5">
        <v>0.75</v>
      </c>
      <c r="I7" s="9"/>
      <c r="J7" s="5" t="s">
        <v>7</v>
      </c>
      <c r="K7" s="5">
        <v>0.6</v>
      </c>
    </row>
    <row r="8" spans="1:11" ht="15.75" x14ac:dyDescent="0.25">
      <c r="A8" s="8" t="s">
        <v>8</v>
      </c>
      <c r="B8" s="5">
        <v>0.5</v>
      </c>
      <c r="C8" s="9"/>
      <c r="D8" s="5" t="s">
        <v>8</v>
      </c>
      <c r="E8" s="5">
        <v>0.75</v>
      </c>
      <c r="F8" s="9"/>
      <c r="G8" s="5" t="s">
        <v>8</v>
      </c>
      <c r="H8" s="5">
        <v>0.75</v>
      </c>
      <c r="I8" s="9"/>
      <c r="J8" s="5" t="s">
        <v>8</v>
      </c>
      <c r="K8" s="5">
        <v>0.6</v>
      </c>
    </row>
    <row r="9" spans="1:11" ht="15.75" x14ac:dyDescent="0.25">
      <c r="A9" s="8" t="s">
        <v>9</v>
      </c>
      <c r="B9" s="5">
        <v>0.25333333333333335</v>
      </c>
      <c r="C9" s="9"/>
      <c r="D9" s="5" t="s">
        <v>9</v>
      </c>
      <c r="E9" s="5">
        <v>0.75</v>
      </c>
      <c r="F9" s="9"/>
      <c r="G9" s="5" t="s">
        <v>9</v>
      </c>
      <c r="H9" s="5">
        <v>0.75</v>
      </c>
      <c r="I9" s="9"/>
      <c r="J9" s="5" t="s">
        <v>9</v>
      </c>
      <c r="K9" s="5">
        <v>0.6</v>
      </c>
    </row>
    <row r="10" spans="1:11" ht="15.75" x14ac:dyDescent="0.25">
      <c r="A10" s="8" t="s">
        <v>10</v>
      </c>
      <c r="B10" s="5">
        <v>0.34545454545454546</v>
      </c>
      <c r="C10" s="9"/>
      <c r="D10" s="5" t="s">
        <v>10</v>
      </c>
      <c r="E10" s="5">
        <v>1</v>
      </c>
      <c r="F10" s="9"/>
      <c r="G10" s="5" t="s">
        <v>10</v>
      </c>
      <c r="H10" s="5">
        <v>1</v>
      </c>
      <c r="I10" s="9"/>
      <c r="J10" s="5" t="s">
        <v>10</v>
      </c>
      <c r="K10" s="5">
        <v>0.6</v>
      </c>
    </row>
    <row r="11" spans="1:11" ht="15.75" x14ac:dyDescent="0.25">
      <c r="A11" s="8" t="s">
        <v>11</v>
      </c>
      <c r="B11" s="5">
        <v>0.30645161290322581</v>
      </c>
      <c r="C11" s="9"/>
      <c r="D11" s="5" t="s">
        <v>11</v>
      </c>
      <c r="E11" s="5">
        <v>1</v>
      </c>
      <c r="F11" s="9"/>
      <c r="G11" s="5" t="s">
        <v>11</v>
      </c>
      <c r="H11" s="5">
        <v>1</v>
      </c>
      <c r="I11" s="9"/>
      <c r="J11" s="5" t="s">
        <v>11</v>
      </c>
      <c r="K11" s="5">
        <v>0.6</v>
      </c>
    </row>
    <row r="12" spans="1:11" ht="15.75" x14ac:dyDescent="0.25">
      <c r="A12" s="8" t="s">
        <v>12</v>
      </c>
      <c r="B12" s="5">
        <v>0.59375</v>
      </c>
      <c r="C12" s="9"/>
      <c r="D12" s="5" t="s">
        <v>12</v>
      </c>
      <c r="E12" s="5">
        <v>1</v>
      </c>
      <c r="F12" s="9"/>
      <c r="G12" s="5" t="s">
        <v>12</v>
      </c>
      <c r="H12" s="5">
        <v>0.75</v>
      </c>
      <c r="I12" s="9"/>
      <c r="J12" s="5" t="s">
        <v>12</v>
      </c>
      <c r="K12" s="5">
        <v>0.6</v>
      </c>
    </row>
    <row r="13" spans="1:11" ht="15.75" x14ac:dyDescent="0.25">
      <c r="A13" s="8" t="s">
        <v>13</v>
      </c>
      <c r="B13" s="5">
        <v>0.79166666666666663</v>
      </c>
      <c r="C13" s="9"/>
      <c r="D13" s="5" t="s">
        <v>13</v>
      </c>
      <c r="E13" s="5">
        <v>1</v>
      </c>
      <c r="F13" s="9"/>
      <c r="G13" s="5" t="s">
        <v>13</v>
      </c>
      <c r="H13" s="5">
        <v>1</v>
      </c>
      <c r="I13" s="9"/>
      <c r="J13" s="5" t="s">
        <v>13</v>
      </c>
      <c r="K13" s="5">
        <v>0.6</v>
      </c>
    </row>
    <row r="14" spans="1:11" ht="15.75" x14ac:dyDescent="0.25">
      <c r="A14" s="8" t="s">
        <v>14</v>
      </c>
      <c r="B14" s="5">
        <v>0.44705882352941179</v>
      </c>
      <c r="C14" s="9"/>
      <c r="D14" s="5" t="s">
        <v>14</v>
      </c>
      <c r="E14" s="5">
        <v>0.75</v>
      </c>
      <c r="F14" s="9"/>
      <c r="G14" s="5" t="s">
        <v>14</v>
      </c>
      <c r="H14" s="5">
        <v>1</v>
      </c>
      <c r="I14" s="9"/>
      <c r="J14" s="5" t="s">
        <v>14</v>
      </c>
      <c r="K14" s="5">
        <v>0.6</v>
      </c>
    </row>
    <row r="15" spans="1:11" ht="15.75" x14ac:dyDescent="0.25">
      <c r="A15" s="8" t="s">
        <v>15</v>
      </c>
      <c r="B15" s="5">
        <v>0.41304347826086957</v>
      </c>
      <c r="C15" s="9"/>
      <c r="D15" s="5" t="s">
        <v>15</v>
      </c>
      <c r="E15" s="5">
        <v>0.75</v>
      </c>
      <c r="F15" s="9"/>
      <c r="G15" s="5" t="s">
        <v>15</v>
      </c>
      <c r="H15" s="5">
        <v>0.75</v>
      </c>
      <c r="I15" s="9"/>
      <c r="J15" s="5" t="s">
        <v>15</v>
      </c>
      <c r="K15" s="5">
        <v>0.6</v>
      </c>
    </row>
    <row r="16" spans="1:11" ht="15.75" x14ac:dyDescent="0.25">
      <c r="A16" s="8" t="s">
        <v>16</v>
      </c>
      <c r="B16" s="5">
        <v>0.90476190476190477</v>
      </c>
      <c r="C16" s="9"/>
      <c r="D16" s="5" t="s">
        <v>16</v>
      </c>
      <c r="E16" s="5">
        <v>0.75</v>
      </c>
      <c r="F16" s="9"/>
      <c r="G16" s="5" t="s">
        <v>16</v>
      </c>
      <c r="H16" s="5">
        <v>1</v>
      </c>
      <c r="I16" s="9"/>
      <c r="J16" s="5" t="s">
        <v>16</v>
      </c>
      <c r="K16" s="5">
        <v>0.6</v>
      </c>
    </row>
    <row r="17" spans="1:11" ht="15.75" x14ac:dyDescent="0.25">
      <c r="A17" s="8" t="s">
        <v>17</v>
      </c>
      <c r="B17" s="5">
        <v>0.76</v>
      </c>
      <c r="C17" s="9"/>
      <c r="D17" s="5" t="s">
        <v>17</v>
      </c>
      <c r="E17" s="5">
        <v>0.75</v>
      </c>
      <c r="F17" s="9"/>
      <c r="G17" s="5" t="s">
        <v>17</v>
      </c>
      <c r="H17" s="5">
        <v>0.75</v>
      </c>
      <c r="I17" s="9"/>
      <c r="J17" s="5" t="s">
        <v>17</v>
      </c>
      <c r="K17" s="5">
        <v>0.6</v>
      </c>
    </row>
    <row r="18" spans="1:11" ht="15.75" x14ac:dyDescent="0.25">
      <c r="A18" s="8" t="s">
        <v>18</v>
      </c>
      <c r="B18" s="5">
        <v>0.76</v>
      </c>
      <c r="C18" s="9"/>
      <c r="D18" s="5" t="s">
        <v>18</v>
      </c>
      <c r="E18" s="5">
        <v>0.75</v>
      </c>
      <c r="F18" s="9"/>
      <c r="G18" s="5" t="s">
        <v>18</v>
      </c>
      <c r="H18" s="5">
        <v>0.75</v>
      </c>
      <c r="I18" s="9"/>
      <c r="J18" s="5" t="s">
        <v>18</v>
      </c>
      <c r="K18" s="5">
        <v>0.6</v>
      </c>
    </row>
    <row r="19" spans="1:11" ht="15.75" x14ac:dyDescent="0.25">
      <c r="A19" s="8" t="s">
        <v>19</v>
      </c>
      <c r="B19" s="5">
        <v>0.86363636363636365</v>
      </c>
      <c r="C19" s="9"/>
      <c r="D19" s="5" t="s">
        <v>19</v>
      </c>
      <c r="E19" s="5">
        <v>0.75</v>
      </c>
      <c r="F19" s="9"/>
      <c r="G19" s="5" t="s">
        <v>19</v>
      </c>
      <c r="H19" s="5">
        <v>1</v>
      </c>
      <c r="I19" s="9"/>
      <c r="J19" s="5" t="s">
        <v>19</v>
      </c>
      <c r="K19" s="5">
        <v>0.6</v>
      </c>
    </row>
    <row r="20" spans="1:11" ht="15.75" x14ac:dyDescent="0.25">
      <c r="A20" s="8" t="s">
        <v>20</v>
      </c>
      <c r="B20" s="5">
        <v>0.19791666666666666</v>
      </c>
      <c r="C20" s="9"/>
      <c r="D20" s="5" t="s">
        <v>20</v>
      </c>
      <c r="E20" s="5">
        <v>0.75</v>
      </c>
      <c r="F20" s="9"/>
      <c r="G20" s="5" t="s">
        <v>20</v>
      </c>
      <c r="H20" s="5">
        <v>0.75</v>
      </c>
      <c r="I20" s="9"/>
      <c r="J20" s="5" t="s">
        <v>20</v>
      </c>
      <c r="K20" s="5">
        <v>0.6</v>
      </c>
    </row>
    <row r="21" spans="1:11" ht="15.75" x14ac:dyDescent="0.25">
      <c r="A21" s="8" t="s">
        <v>21</v>
      </c>
      <c r="B21" s="5">
        <v>0.6333333333333333</v>
      </c>
      <c r="C21" s="9"/>
      <c r="D21" s="5" t="s">
        <v>21</v>
      </c>
      <c r="E21" s="5">
        <v>0.75</v>
      </c>
      <c r="F21" s="9"/>
      <c r="G21" s="5" t="s">
        <v>21</v>
      </c>
      <c r="H21" s="5">
        <v>0.75</v>
      </c>
      <c r="I21" s="9"/>
      <c r="J21" s="5" t="s">
        <v>21</v>
      </c>
      <c r="K21" s="5">
        <v>0.6</v>
      </c>
    </row>
    <row r="22" spans="1:11" ht="15.75" x14ac:dyDescent="0.25">
      <c r="A22" s="8" t="s">
        <v>22</v>
      </c>
      <c r="B22" s="5">
        <v>0.86363636363636365</v>
      </c>
      <c r="C22" s="9"/>
      <c r="D22" s="5" t="s">
        <v>22</v>
      </c>
      <c r="E22" s="5">
        <v>0.75</v>
      </c>
      <c r="F22" s="9"/>
      <c r="G22" s="5" t="s">
        <v>22</v>
      </c>
      <c r="H22" s="5">
        <v>0.75</v>
      </c>
      <c r="I22" s="9"/>
      <c r="J22" s="5" t="s">
        <v>22</v>
      </c>
      <c r="K22" s="5">
        <v>0.6</v>
      </c>
    </row>
    <row r="23" spans="1:11" ht="15.75" x14ac:dyDescent="0.25">
      <c r="A23" s="8" t="s">
        <v>23</v>
      </c>
      <c r="B23" s="5">
        <v>0.6333333333333333</v>
      </c>
      <c r="C23" s="9"/>
      <c r="D23" s="5" t="s">
        <v>23</v>
      </c>
      <c r="E23" s="5">
        <v>0.75</v>
      </c>
      <c r="F23" s="9"/>
      <c r="G23" s="5" t="s">
        <v>23</v>
      </c>
      <c r="H23" s="5">
        <v>0.75</v>
      </c>
      <c r="I23" s="9"/>
      <c r="J23" s="5" t="s">
        <v>23</v>
      </c>
      <c r="K23" s="5">
        <v>0.6</v>
      </c>
    </row>
    <row r="24" spans="1:11" ht="15.75" x14ac:dyDescent="0.25">
      <c r="A24" s="8" t="s">
        <v>24</v>
      </c>
      <c r="B24" s="5">
        <v>0.2</v>
      </c>
      <c r="C24" s="9"/>
      <c r="D24" s="5" t="s">
        <v>24</v>
      </c>
      <c r="E24" s="5">
        <v>0.75</v>
      </c>
      <c r="F24" s="9"/>
      <c r="G24" s="5" t="s">
        <v>24</v>
      </c>
      <c r="H24" s="5">
        <v>0.75</v>
      </c>
      <c r="I24" s="9"/>
      <c r="J24" s="5" t="s">
        <v>24</v>
      </c>
      <c r="K24" s="5">
        <v>0.6</v>
      </c>
    </row>
    <row r="25" spans="1:11" ht="15.75" x14ac:dyDescent="0.25">
      <c r="A25" s="8" t="s">
        <v>25</v>
      </c>
      <c r="B25" s="5">
        <v>0.86363636363636365</v>
      </c>
      <c r="C25" s="9"/>
      <c r="D25" s="5" t="s">
        <v>25</v>
      </c>
      <c r="E25" s="5">
        <v>0.75</v>
      </c>
      <c r="F25" s="9"/>
      <c r="G25" s="5" t="s">
        <v>25</v>
      </c>
      <c r="H25" s="5">
        <v>0.75</v>
      </c>
      <c r="I25" s="9"/>
      <c r="J25" s="5" t="s">
        <v>25</v>
      </c>
      <c r="K25" s="5">
        <v>0.6</v>
      </c>
    </row>
    <row r="26" spans="1:11" ht="15.75" x14ac:dyDescent="0.25">
      <c r="A26" s="8" t="s">
        <v>26</v>
      </c>
      <c r="B26" s="5">
        <v>0.43181818181818182</v>
      </c>
      <c r="C26" s="9"/>
      <c r="D26" s="5" t="s">
        <v>26</v>
      </c>
      <c r="E26" s="5">
        <v>0.75</v>
      </c>
      <c r="F26" s="9"/>
      <c r="G26" s="5" t="s">
        <v>26</v>
      </c>
      <c r="H26" s="5">
        <v>0.75</v>
      </c>
      <c r="I26" s="9"/>
      <c r="J26" s="5" t="s">
        <v>26</v>
      </c>
      <c r="K26" s="5">
        <v>0.6</v>
      </c>
    </row>
    <row r="27" spans="1:11" ht="15.75" x14ac:dyDescent="0.25">
      <c r="A27" s="8" t="s">
        <v>27</v>
      </c>
      <c r="B27" s="5">
        <v>0.18627450980392157</v>
      </c>
      <c r="C27" s="9"/>
      <c r="D27" s="5" t="s">
        <v>27</v>
      </c>
      <c r="E27" s="5">
        <v>0.75</v>
      </c>
      <c r="F27" s="9"/>
      <c r="G27" s="5" t="s">
        <v>27</v>
      </c>
      <c r="H27" s="5">
        <v>0.75</v>
      </c>
      <c r="I27" s="9"/>
      <c r="J27" s="5" t="s">
        <v>27</v>
      </c>
      <c r="K27" s="5">
        <v>0.6</v>
      </c>
    </row>
    <row r="28" spans="1:11" ht="15.75" x14ac:dyDescent="0.25">
      <c r="A28" s="8" t="s">
        <v>28</v>
      </c>
      <c r="B28" s="5">
        <v>1</v>
      </c>
      <c r="C28" s="9"/>
      <c r="D28" s="5" t="s">
        <v>28</v>
      </c>
      <c r="E28" s="5">
        <v>0.75</v>
      </c>
      <c r="F28" s="9"/>
      <c r="G28" s="5" t="s">
        <v>28</v>
      </c>
      <c r="H28" s="5">
        <v>0.75</v>
      </c>
      <c r="I28" s="9"/>
      <c r="J28" s="5" t="s">
        <v>28</v>
      </c>
      <c r="K28" s="5">
        <v>0.6</v>
      </c>
    </row>
    <row r="29" spans="1:11" ht="15.75" x14ac:dyDescent="0.25">
      <c r="A29" s="8" t="s">
        <v>29</v>
      </c>
      <c r="B29" s="5">
        <v>0.26027397260273971</v>
      </c>
      <c r="C29" s="9"/>
      <c r="D29" s="5" t="s">
        <v>29</v>
      </c>
      <c r="E29" s="5">
        <v>0.75</v>
      </c>
      <c r="F29" s="9"/>
      <c r="G29" s="5" t="s">
        <v>29</v>
      </c>
      <c r="H29" s="5">
        <v>0.75</v>
      </c>
      <c r="I29" s="9"/>
      <c r="J29" s="5" t="s">
        <v>29</v>
      </c>
      <c r="K29" s="5">
        <v>0.6</v>
      </c>
    </row>
    <row r="30" spans="1:11" ht="15.75" x14ac:dyDescent="0.25">
      <c r="A30" s="8" t="s">
        <v>30</v>
      </c>
      <c r="B30" s="5">
        <v>0.6333333333333333</v>
      </c>
      <c r="C30" s="9"/>
      <c r="D30" s="5" t="s">
        <v>30</v>
      </c>
      <c r="E30" s="5">
        <v>0.5</v>
      </c>
      <c r="F30" s="9"/>
      <c r="G30" s="5" t="s">
        <v>30</v>
      </c>
      <c r="H30" s="5">
        <v>0.75</v>
      </c>
      <c r="I30" s="9"/>
      <c r="J30" s="5" t="s">
        <v>30</v>
      </c>
      <c r="K30" s="5">
        <v>1</v>
      </c>
    </row>
    <row r="31" spans="1:11" ht="15.75" x14ac:dyDescent="0.25">
      <c r="A31" s="8" t="s">
        <v>31</v>
      </c>
      <c r="B31" s="5">
        <v>0.54285714285714282</v>
      </c>
      <c r="C31" s="9"/>
      <c r="D31" s="5" t="s">
        <v>31</v>
      </c>
      <c r="E31" s="5">
        <v>0.75</v>
      </c>
      <c r="F31" s="9"/>
      <c r="G31" s="5" t="s">
        <v>31</v>
      </c>
      <c r="H31" s="5">
        <v>0.75</v>
      </c>
      <c r="I31" s="9"/>
      <c r="J31" s="5" t="s">
        <v>31</v>
      </c>
      <c r="K31" s="5">
        <v>0.6</v>
      </c>
    </row>
    <row r="32" spans="1:11" ht="15.75" x14ac:dyDescent="0.25">
      <c r="A32" s="8" t="s">
        <v>32</v>
      </c>
      <c r="B32" s="5">
        <v>0.44186046511627908</v>
      </c>
      <c r="C32" s="9"/>
      <c r="D32" s="5" t="s">
        <v>32</v>
      </c>
      <c r="E32" s="5">
        <v>0.5</v>
      </c>
      <c r="F32" s="9"/>
      <c r="G32" s="5" t="s">
        <v>32</v>
      </c>
      <c r="H32" s="5">
        <v>0.75</v>
      </c>
      <c r="I32" s="9"/>
      <c r="J32" s="5" t="s">
        <v>32</v>
      </c>
      <c r="K32" s="5">
        <v>1</v>
      </c>
    </row>
    <row r="33" spans="1:11" ht="15.75" x14ac:dyDescent="0.25">
      <c r="A33" s="8" t="s">
        <v>33</v>
      </c>
      <c r="B33" s="5">
        <v>0.11046511627906977</v>
      </c>
      <c r="C33" s="9"/>
      <c r="D33" s="5" t="s">
        <v>33</v>
      </c>
      <c r="E33" s="5">
        <v>0.75</v>
      </c>
      <c r="F33" s="9"/>
      <c r="G33" s="5" t="s">
        <v>33</v>
      </c>
      <c r="H33" s="5">
        <v>0.75</v>
      </c>
      <c r="I33" s="9"/>
      <c r="J33" s="5" t="s">
        <v>33</v>
      </c>
      <c r="K33" s="5">
        <v>0.6</v>
      </c>
    </row>
    <row r="34" spans="1:11" ht="15.75" x14ac:dyDescent="0.25">
      <c r="A34" s="8" t="s">
        <v>34</v>
      </c>
      <c r="B34" s="5">
        <v>0.38775510204081631</v>
      </c>
      <c r="C34" s="9"/>
      <c r="D34" s="5" t="s">
        <v>34</v>
      </c>
      <c r="E34" s="5">
        <v>0.75</v>
      </c>
      <c r="F34" s="9"/>
      <c r="G34" s="5" t="s">
        <v>34</v>
      </c>
      <c r="H34" s="5">
        <v>0.75</v>
      </c>
      <c r="I34" s="9"/>
      <c r="J34" s="5" t="s">
        <v>34</v>
      </c>
      <c r="K34" s="5">
        <v>0.6</v>
      </c>
    </row>
    <row r="35" spans="1:11" ht="15.75" x14ac:dyDescent="0.25">
      <c r="A35" s="8" t="s">
        <v>35</v>
      </c>
      <c r="B35" s="5">
        <v>0.2638888888888889</v>
      </c>
      <c r="C35" s="9"/>
      <c r="D35" s="5" t="s">
        <v>35</v>
      </c>
      <c r="E35" s="5">
        <v>0.75</v>
      </c>
      <c r="F35" s="9"/>
      <c r="G35" s="5" t="s">
        <v>35</v>
      </c>
      <c r="H35" s="5">
        <v>0.75</v>
      </c>
      <c r="I35" s="9"/>
      <c r="J35" s="5" t="s">
        <v>35</v>
      </c>
      <c r="K35" s="5">
        <v>0.6</v>
      </c>
    </row>
    <row r="36" spans="1:11" ht="15.75" x14ac:dyDescent="0.25">
      <c r="A36" s="8" t="s">
        <v>36</v>
      </c>
      <c r="B36" s="5">
        <v>0.79166666666666663</v>
      </c>
      <c r="C36" s="9"/>
      <c r="D36" s="5" t="s">
        <v>36</v>
      </c>
      <c r="E36" s="5">
        <v>0.75</v>
      </c>
      <c r="F36" s="9"/>
      <c r="G36" s="5" t="s">
        <v>36</v>
      </c>
      <c r="H36" s="5">
        <v>0.75</v>
      </c>
      <c r="I36" s="9"/>
      <c r="J36" s="5" t="s">
        <v>36</v>
      </c>
      <c r="K36" s="5">
        <v>0.6</v>
      </c>
    </row>
    <row r="37" spans="1:11" ht="15.75" x14ac:dyDescent="0.25">
      <c r="A37" s="8" t="s">
        <v>37</v>
      </c>
      <c r="B37" s="5">
        <v>0.55882352941176472</v>
      </c>
      <c r="C37" s="9"/>
      <c r="D37" s="5" t="s">
        <v>37</v>
      </c>
      <c r="E37" s="5">
        <v>0.75</v>
      </c>
      <c r="F37" s="9"/>
      <c r="G37" s="5" t="s">
        <v>37</v>
      </c>
      <c r="H37" s="5">
        <v>0.75</v>
      </c>
      <c r="I37" s="9"/>
      <c r="J37" s="5" t="s">
        <v>37</v>
      </c>
      <c r="K37" s="5">
        <v>0.6</v>
      </c>
    </row>
    <row r="38" spans="1:11" ht="15.75" x14ac:dyDescent="0.25">
      <c r="A38" s="8" t="s">
        <v>38</v>
      </c>
      <c r="B38" s="5">
        <v>0.2620689655172414</v>
      </c>
      <c r="C38" s="9"/>
      <c r="D38" s="5" t="s">
        <v>38</v>
      </c>
      <c r="E38" s="5">
        <v>0.75</v>
      </c>
      <c r="F38" s="9"/>
      <c r="G38" s="5" t="s">
        <v>38</v>
      </c>
      <c r="H38" s="5">
        <v>0.75</v>
      </c>
      <c r="I38" s="9"/>
      <c r="J38" s="5" t="s">
        <v>38</v>
      </c>
      <c r="K38" s="5">
        <v>0.6</v>
      </c>
    </row>
    <row r="39" spans="1:11" ht="15.75" x14ac:dyDescent="0.25">
      <c r="A39" s="8" t="s">
        <v>39</v>
      </c>
      <c r="B39" s="5">
        <v>0.30645161290322581</v>
      </c>
      <c r="C39" s="9"/>
      <c r="D39" s="5" t="s">
        <v>39</v>
      </c>
      <c r="E39" s="5">
        <v>0.75</v>
      </c>
      <c r="F39" s="9"/>
      <c r="G39" s="5" t="s">
        <v>39</v>
      </c>
      <c r="H39" s="5">
        <v>0.75</v>
      </c>
      <c r="I39" s="9"/>
      <c r="J39" s="5" t="s">
        <v>39</v>
      </c>
      <c r="K39" s="5">
        <v>0.6</v>
      </c>
    </row>
    <row r="40" spans="1:11" ht="15.75" x14ac:dyDescent="0.25">
      <c r="A40" s="8" t="s">
        <v>40</v>
      </c>
      <c r="B40" s="5">
        <v>0.44186046511627908</v>
      </c>
      <c r="C40" s="9"/>
      <c r="D40" s="5" t="s">
        <v>40</v>
      </c>
      <c r="E40" s="5">
        <v>0.75</v>
      </c>
      <c r="F40" s="9"/>
      <c r="G40" s="5" t="s">
        <v>40</v>
      </c>
      <c r="H40" s="5">
        <v>0.75</v>
      </c>
      <c r="I40" s="9"/>
      <c r="J40" s="5" t="s">
        <v>40</v>
      </c>
      <c r="K40" s="5">
        <v>0.6</v>
      </c>
    </row>
    <row r="41" spans="1:11" ht="15.75" x14ac:dyDescent="0.25">
      <c r="A41" s="5" t="s">
        <v>41</v>
      </c>
      <c r="B41" s="5">
        <v>0.77551020408163263</v>
      </c>
      <c r="C41" s="9"/>
      <c r="D41" s="5" t="s">
        <v>41</v>
      </c>
      <c r="E41" s="5">
        <v>0.75</v>
      </c>
      <c r="F41" s="9"/>
      <c r="G41" s="5" t="s">
        <v>41</v>
      </c>
      <c r="H41" s="5">
        <v>0.75</v>
      </c>
      <c r="I41" s="9"/>
      <c r="J41" s="5" t="s">
        <v>41</v>
      </c>
      <c r="K41" s="5">
        <v>0.6</v>
      </c>
    </row>
    <row r="42" spans="1:11" ht="15.75" x14ac:dyDescent="0.25">
      <c r="A42" s="10"/>
      <c r="B42" s="10"/>
      <c r="C42" s="9"/>
      <c r="D42" s="9"/>
      <c r="E42" s="9"/>
      <c r="F42" s="9"/>
      <c r="G42" s="9"/>
      <c r="H42" s="9"/>
      <c r="I42" s="9"/>
      <c r="J42" s="9"/>
    </row>
    <row r="43" spans="1:11" ht="15.75" x14ac:dyDescent="0.25">
      <c r="A43" s="10"/>
      <c r="B43" s="10"/>
      <c r="C43" s="9"/>
      <c r="D43" s="9"/>
      <c r="E43" s="9"/>
      <c r="F43" s="9"/>
      <c r="G43" s="9"/>
      <c r="H43" s="9"/>
      <c r="I43" s="9"/>
      <c r="J43" s="9"/>
    </row>
    <row r="44" spans="1:11" ht="15.75" x14ac:dyDescent="0.25">
      <c r="A44" s="10"/>
      <c r="B44" s="10" t="s">
        <v>61</v>
      </c>
      <c r="C44" s="9"/>
      <c r="D44" s="9"/>
      <c r="E44" s="9"/>
      <c r="F44" s="9"/>
      <c r="G44" s="9"/>
      <c r="H44" s="9"/>
      <c r="I44" s="9"/>
      <c r="J44" s="9"/>
    </row>
    <row r="45" spans="1:11" ht="15.75" x14ac:dyDescent="0.25">
      <c r="A45" s="10"/>
      <c r="B45" s="10" t="s">
        <v>60</v>
      </c>
      <c r="C45" s="9"/>
      <c r="D45" s="9"/>
      <c r="E45" s="9"/>
      <c r="F45" s="9"/>
      <c r="G45" s="9"/>
      <c r="H45" s="9"/>
      <c r="I45" s="9"/>
      <c r="J45" s="9"/>
    </row>
    <row r="46" spans="1:11" ht="15.75" x14ac:dyDescent="0.25">
      <c r="A46" s="10"/>
      <c r="B46" s="10" t="s">
        <v>62</v>
      </c>
      <c r="C46" s="9"/>
      <c r="D46" s="9"/>
      <c r="E46" s="9"/>
      <c r="F46" s="9"/>
      <c r="G46" s="9"/>
      <c r="H46" s="9"/>
      <c r="I46" s="9"/>
      <c r="J46" s="9"/>
    </row>
    <row r="47" spans="1:11" ht="15.75" x14ac:dyDescent="0.25">
      <c r="A47" s="10"/>
      <c r="B47" s="10" t="s">
        <v>63</v>
      </c>
      <c r="C47" s="9"/>
      <c r="D47" s="9"/>
      <c r="E47" s="9"/>
      <c r="F47" s="9"/>
      <c r="G47" s="9"/>
      <c r="H47" s="9"/>
      <c r="I47" s="9"/>
      <c r="J47" s="9"/>
    </row>
    <row r="48" spans="1:11" ht="15.75" x14ac:dyDescent="0.25">
      <c r="A48" s="10"/>
      <c r="B48" s="10"/>
      <c r="C48" s="9"/>
      <c r="D48" s="9"/>
      <c r="E48" s="9"/>
      <c r="F48" s="9"/>
      <c r="G48" s="9"/>
      <c r="H48" s="9"/>
      <c r="I48" s="9"/>
      <c r="J48" s="9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4DA6-8043-4EDB-8FC7-3A9E484B5D6E}">
  <dimension ref="A1:H41"/>
  <sheetViews>
    <sheetView zoomScale="65" workbookViewId="0">
      <selection activeCell="I18" sqref="I18"/>
    </sheetView>
  </sheetViews>
  <sheetFormatPr defaultRowHeight="15.75" x14ac:dyDescent="0.25"/>
  <cols>
    <col min="1" max="1" width="9.140625" style="9"/>
    <col min="2" max="2" width="30.5703125" style="9" customWidth="1"/>
    <col min="3" max="3" width="21.5703125" style="9" customWidth="1"/>
    <col min="4" max="4" width="22.140625" style="9" customWidth="1"/>
    <col min="5" max="5" width="20" style="9" customWidth="1"/>
    <col min="6" max="6" width="25.85546875" style="9" customWidth="1"/>
    <col min="7" max="7" width="14.42578125" style="9" customWidth="1"/>
    <col min="8" max="8" width="17.140625" style="9" customWidth="1"/>
    <col min="9" max="16384" width="9.140625" style="9"/>
  </cols>
  <sheetData>
    <row r="1" spans="1:8" x14ac:dyDescent="0.25">
      <c r="A1" s="5" t="s">
        <v>0</v>
      </c>
      <c r="B1" s="5" t="s">
        <v>1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6" t="s">
        <v>74</v>
      </c>
    </row>
    <row r="2" spans="1:8" x14ac:dyDescent="0.25">
      <c r="A2" s="5">
        <v>1</v>
      </c>
      <c r="B2" s="5" t="s">
        <v>2</v>
      </c>
      <c r="C2" s="5">
        <v>0.16285714285714284</v>
      </c>
      <c r="D2" s="5">
        <v>0.22499999999999998</v>
      </c>
      <c r="E2" s="5">
        <v>0.15000000000000002</v>
      </c>
      <c r="F2" s="5">
        <v>0.12</v>
      </c>
      <c r="G2" s="7">
        <v>0.65785714285714281</v>
      </c>
      <c r="H2" s="5"/>
    </row>
    <row r="3" spans="1:8" x14ac:dyDescent="0.25">
      <c r="A3" s="5">
        <v>2</v>
      </c>
      <c r="B3" s="5" t="s">
        <v>3</v>
      </c>
      <c r="C3" s="5">
        <v>0.11874999999999999</v>
      </c>
      <c r="D3" s="5">
        <v>0.3</v>
      </c>
      <c r="E3" s="5">
        <v>0.15000000000000002</v>
      </c>
      <c r="F3" s="5">
        <v>0.12</v>
      </c>
      <c r="G3" s="5">
        <v>0.68874999999999997</v>
      </c>
      <c r="H3" s="5">
        <f t="shared" ref="H3:H41" si="0">RANK(G3,$G$2:$G$41,0)</f>
        <v>18</v>
      </c>
    </row>
    <row r="4" spans="1:8" x14ac:dyDescent="0.25">
      <c r="A4" s="5">
        <v>3</v>
      </c>
      <c r="B4" s="5" t="s">
        <v>4</v>
      </c>
      <c r="C4" s="5">
        <v>0.22799999999999998</v>
      </c>
      <c r="D4" s="5">
        <v>0.22499999999999998</v>
      </c>
      <c r="E4" s="5">
        <v>0.15000000000000002</v>
      </c>
      <c r="F4" s="5">
        <v>0.12</v>
      </c>
      <c r="G4" s="5">
        <v>0.72299999999999998</v>
      </c>
      <c r="H4" s="5">
        <f t="shared" si="0"/>
        <v>13</v>
      </c>
    </row>
    <row r="5" spans="1:8" x14ac:dyDescent="0.25">
      <c r="A5" s="5">
        <v>4</v>
      </c>
      <c r="B5" s="5" t="s">
        <v>5</v>
      </c>
      <c r="C5" s="5">
        <v>0.28499999999999998</v>
      </c>
      <c r="D5" s="5">
        <v>0.22499999999999998</v>
      </c>
      <c r="E5" s="5">
        <v>0.15000000000000002</v>
      </c>
      <c r="F5" s="5">
        <v>0.12</v>
      </c>
      <c r="G5" s="5">
        <v>0.78</v>
      </c>
      <c r="H5" s="5">
        <f t="shared" si="0"/>
        <v>5</v>
      </c>
    </row>
    <row r="6" spans="1:8" x14ac:dyDescent="0.25">
      <c r="A6" s="5">
        <v>5</v>
      </c>
      <c r="B6" s="5" t="s">
        <v>6</v>
      </c>
      <c r="C6" s="5">
        <v>0.24782608695652172</v>
      </c>
      <c r="D6" s="5">
        <v>0.22499999999999998</v>
      </c>
      <c r="E6" s="5">
        <v>0.15000000000000002</v>
      </c>
      <c r="F6" s="5">
        <v>0.12</v>
      </c>
      <c r="G6" s="5">
        <v>0.74282608695652175</v>
      </c>
      <c r="H6" s="5">
        <f t="shared" si="0"/>
        <v>9</v>
      </c>
    </row>
    <row r="7" spans="1:8" x14ac:dyDescent="0.25">
      <c r="A7" s="5">
        <v>6</v>
      </c>
      <c r="B7" s="5" t="s">
        <v>7</v>
      </c>
      <c r="C7" s="5">
        <v>8.9062500000000003E-2</v>
      </c>
      <c r="D7" s="5">
        <v>0.22499999999999998</v>
      </c>
      <c r="E7" s="5">
        <v>0.15000000000000002</v>
      </c>
      <c r="F7" s="5">
        <v>0.12</v>
      </c>
      <c r="G7" s="5">
        <v>0.58406249999999993</v>
      </c>
      <c r="H7" s="5">
        <f t="shared" si="0"/>
        <v>32</v>
      </c>
    </row>
    <row r="8" spans="1:8" x14ac:dyDescent="0.25">
      <c r="A8" s="5">
        <v>7</v>
      </c>
      <c r="B8" s="5" t="s">
        <v>8</v>
      </c>
      <c r="C8" s="5">
        <v>0.15</v>
      </c>
      <c r="D8" s="5">
        <v>0.22499999999999998</v>
      </c>
      <c r="E8" s="5">
        <v>0.15000000000000002</v>
      </c>
      <c r="F8" s="5">
        <v>0.12</v>
      </c>
      <c r="G8" s="5">
        <v>0.64500000000000002</v>
      </c>
      <c r="H8" s="5">
        <f t="shared" si="0"/>
        <v>25</v>
      </c>
    </row>
    <row r="9" spans="1:8" x14ac:dyDescent="0.25">
      <c r="A9" s="5">
        <v>8</v>
      </c>
      <c r="B9" s="5" t="s">
        <v>9</v>
      </c>
      <c r="C9" s="5">
        <v>7.5999999999999998E-2</v>
      </c>
      <c r="D9" s="5">
        <v>0.22499999999999998</v>
      </c>
      <c r="E9" s="5">
        <v>0.15000000000000002</v>
      </c>
      <c r="F9" s="5">
        <v>0.12</v>
      </c>
      <c r="G9" s="5">
        <v>0.57099999999999995</v>
      </c>
      <c r="H9" s="5">
        <f t="shared" si="0"/>
        <v>36</v>
      </c>
    </row>
    <row r="10" spans="1:8" x14ac:dyDescent="0.25">
      <c r="A10" s="5">
        <v>9</v>
      </c>
      <c r="B10" s="5" t="s">
        <v>10</v>
      </c>
      <c r="C10" s="5">
        <v>0.10363636363636364</v>
      </c>
      <c r="D10" s="5">
        <v>0.3</v>
      </c>
      <c r="E10" s="5">
        <v>0.2</v>
      </c>
      <c r="F10" s="5">
        <v>0.12</v>
      </c>
      <c r="G10" s="5">
        <v>0.72363636363636363</v>
      </c>
      <c r="H10" s="5">
        <f t="shared" si="0"/>
        <v>12</v>
      </c>
    </row>
    <row r="11" spans="1:8" x14ac:dyDescent="0.25">
      <c r="A11" s="5">
        <v>10</v>
      </c>
      <c r="B11" s="5" t="s">
        <v>11</v>
      </c>
      <c r="C11" s="5">
        <v>9.1935483870967741E-2</v>
      </c>
      <c r="D11" s="5">
        <v>0.3</v>
      </c>
      <c r="E11" s="5">
        <v>0.2</v>
      </c>
      <c r="F11" s="5">
        <v>0.12</v>
      </c>
      <c r="G11" s="5">
        <v>0.71193548387096772</v>
      </c>
      <c r="H11" s="5">
        <f t="shared" si="0"/>
        <v>16</v>
      </c>
    </row>
    <row r="12" spans="1:8" x14ac:dyDescent="0.25">
      <c r="A12" s="5">
        <v>11</v>
      </c>
      <c r="B12" s="5" t="s">
        <v>12</v>
      </c>
      <c r="C12" s="5">
        <v>0.17812500000000001</v>
      </c>
      <c r="D12" s="5">
        <v>0.3</v>
      </c>
      <c r="E12" s="5">
        <v>0.15000000000000002</v>
      </c>
      <c r="F12" s="5">
        <v>0.12</v>
      </c>
      <c r="G12" s="5">
        <v>0.74812500000000004</v>
      </c>
      <c r="H12" s="5">
        <f t="shared" si="0"/>
        <v>8</v>
      </c>
    </row>
    <row r="13" spans="1:8" x14ac:dyDescent="0.25">
      <c r="A13" s="5">
        <v>12</v>
      </c>
      <c r="B13" s="5" t="s">
        <v>13</v>
      </c>
      <c r="C13" s="5">
        <v>0.23749999999999999</v>
      </c>
      <c r="D13" s="5">
        <v>0.3</v>
      </c>
      <c r="E13" s="5">
        <v>0.2</v>
      </c>
      <c r="F13" s="5">
        <v>0.12</v>
      </c>
      <c r="G13" s="5">
        <v>0.85750000000000004</v>
      </c>
      <c r="H13" s="5">
        <f t="shared" si="0"/>
        <v>1</v>
      </c>
    </row>
    <row r="14" spans="1:8" x14ac:dyDescent="0.25">
      <c r="A14" s="5">
        <v>13</v>
      </c>
      <c r="B14" s="5" t="s">
        <v>14</v>
      </c>
      <c r="C14" s="5">
        <v>0.13411764705882354</v>
      </c>
      <c r="D14" s="5">
        <v>0.22499999999999998</v>
      </c>
      <c r="E14" s="5">
        <v>0.2</v>
      </c>
      <c r="F14" s="5">
        <v>0.12</v>
      </c>
      <c r="G14" s="5">
        <v>0.67911764705882349</v>
      </c>
      <c r="H14" s="5">
        <f t="shared" si="0"/>
        <v>21</v>
      </c>
    </row>
    <row r="15" spans="1:8" x14ac:dyDescent="0.25">
      <c r="A15" s="5">
        <v>14</v>
      </c>
      <c r="B15" s="5" t="s">
        <v>15</v>
      </c>
      <c r="C15" s="5">
        <v>0.12391304347826086</v>
      </c>
      <c r="D15" s="5">
        <v>0.22499999999999998</v>
      </c>
      <c r="E15" s="5">
        <v>0.15000000000000002</v>
      </c>
      <c r="F15" s="5">
        <v>0.12</v>
      </c>
      <c r="G15" s="5">
        <v>0.61891304347826082</v>
      </c>
      <c r="H15" s="5">
        <f t="shared" si="0"/>
        <v>29</v>
      </c>
    </row>
    <row r="16" spans="1:8" x14ac:dyDescent="0.25">
      <c r="A16" s="5">
        <v>15</v>
      </c>
      <c r="B16" s="5" t="s">
        <v>16</v>
      </c>
      <c r="C16" s="5">
        <v>0.27142857142857141</v>
      </c>
      <c r="D16" s="5">
        <v>0.22499999999999998</v>
      </c>
      <c r="E16" s="5">
        <v>0.2</v>
      </c>
      <c r="F16" s="5">
        <v>0.12</v>
      </c>
      <c r="G16" s="5">
        <v>0.81642857142857139</v>
      </c>
      <c r="H16" s="5">
        <f t="shared" si="0"/>
        <v>2</v>
      </c>
    </row>
    <row r="17" spans="1:8" x14ac:dyDescent="0.25">
      <c r="A17" s="5">
        <v>16</v>
      </c>
      <c r="B17" s="5" t="s">
        <v>17</v>
      </c>
      <c r="C17" s="5">
        <v>0.22799999999999998</v>
      </c>
      <c r="D17" s="5">
        <v>0.22499999999999998</v>
      </c>
      <c r="E17" s="5">
        <v>0.15000000000000002</v>
      </c>
      <c r="F17" s="5">
        <v>0.12</v>
      </c>
      <c r="G17" s="5">
        <v>0.72299999999999998</v>
      </c>
      <c r="H17" s="5">
        <f t="shared" si="0"/>
        <v>13</v>
      </c>
    </row>
    <row r="18" spans="1:8" x14ac:dyDescent="0.25">
      <c r="A18" s="5">
        <v>17</v>
      </c>
      <c r="B18" s="5" t="s">
        <v>18</v>
      </c>
      <c r="C18" s="5">
        <v>0.22799999999999998</v>
      </c>
      <c r="D18" s="5">
        <v>0.22499999999999998</v>
      </c>
      <c r="E18" s="5">
        <v>0.15000000000000002</v>
      </c>
      <c r="F18" s="5">
        <v>0.12</v>
      </c>
      <c r="G18" s="5">
        <v>0.72299999999999998</v>
      </c>
      <c r="H18" s="5">
        <f t="shared" si="0"/>
        <v>13</v>
      </c>
    </row>
    <row r="19" spans="1:8" x14ac:dyDescent="0.25">
      <c r="A19" s="5">
        <v>18</v>
      </c>
      <c r="B19" s="5" t="s">
        <v>19</v>
      </c>
      <c r="C19" s="5">
        <v>0.25909090909090909</v>
      </c>
      <c r="D19" s="5">
        <v>0.22499999999999998</v>
      </c>
      <c r="E19" s="5">
        <v>0.2</v>
      </c>
      <c r="F19" s="5">
        <v>0.12</v>
      </c>
      <c r="G19" s="5">
        <v>0.80409090909090908</v>
      </c>
      <c r="H19" s="5">
        <f t="shared" si="0"/>
        <v>3</v>
      </c>
    </row>
    <row r="20" spans="1:8" x14ac:dyDescent="0.25">
      <c r="A20" s="5">
        <v>19</v>
      </c>
      <c r="B20" s="5" t="s">
        <v>20</v>
      </c>
      <c r="C20" s="5">
        <v>5.9374999999999997E-2</v>
      </c>
      <c r="D20" s="5">
        <v>0.22499999999999998</v>
      </c>
      <c r="E20" s="5">
        <v>0.15000000000000002</v>
      </c>
      <c r="F20" s="5">
        <v>0.12</v>
      </c>
      <c r="G20" s="5">
        <v>0.55437500000000006</v>
      </c>
      <c r="H20" s="5">
        <f t="shared" si="0"/>
        <v>38</v>
      </c>
    </row>
    <row r="21" spans="1:8" x14ac:dyDescent="0.25">
      <c r="A21" s="5">
        <v>20</v>
      </c>
      <c r="B21" s="5" t="s">
        <v>21</v>
      </c>
      <c r="C21" s="5">
        <v>0.18999999999999997</v>
      </c>
      <c r="D21" s="5">
        <v>0.22499999999999998</v>
      </c>
      <c r="E21" s="5">
        <v>0.15000000000000002</v>
      </c>
      <c r="F21" s="5">
        <v>0.12</v>
      </c>
      <c r="G21" s="5">
        <v>0.68499999999999994</v>
      </c>
      <c r="H21" s="5">
        <f t="shared" si="0"/>
        <v>19</v>
      </c>
    </row>
    <row r="22" spans="1:8" x14ac:dyDescent="0.25">
      <c r="A22" s="5">
        <v>21</v>
      </c>
      <c r="B22" s="5" t="s">
        <v>22</v>
      </c>
      <c r="C22" s="5">
        <v>0.25909090909090909</v>
      </c>
      <c r="D22" s="5">
        <v>0.22499999999999998</v>
      </c>
      <c r="E22" s="5">
        <v>0.15000000000000002</v>
      </c>
      <c r="F22" s="5">
        <v>0.12</v>
      </c>
      <c r="G22" s="5">
        <v>0.75409090909090903</v>
      </c>
      <c r="H22" s="5">
        <f t="shared" si="0"/>
        <v>6</v>
      </c>
    </row>
    <row r="23" spans="1:8" x14ac:dyDescent="0.25">
      <c r="A23" s="5">
        <v>22</v>
      </c>
      <c r="B23" s="5" t="s">
        <v>23</v>
      </c>
      <c r="C23" s="5">
        <v>0.18999999999999997</v>
      </c>
      <c r="D23" s="5">
        <v>0.22499999999999998</v>
      </c>
      <c r="E23" s="5">
        <v>0.15000000000000002</v>
      </c>
      <c r="F23" s="5">
        <v>0.12</v>
      </c>
      <c r="G23" s="5">
        <v>0.68499999999999994</v>
      </c>
      <c r="H23" s="5">
        <f t="shared" si="0"/>
        <v>19</v>
      </c>
    </row>
    <row r="24" spans="1:8" x14ac:dyDescent="0.25">
      <c r="A24" s="5">
        <v>23</v>
      </c>
      <c r="B24" s="5" t="s">
        <v>24</v>
      </c>
      <c r="C24" s="5">
        <v>0.06</v>
      </c>
      <c r="D24" s="5">
        <v>0.22499999999999998</v>
      </c>
      <c r="E24" s="5">
        <v>0.15000000000000002</v>
      </c>
      <c r="F24" s="5">
        <v>0.12</v>
      </c>
      <c r="G24" s="5">
        <v>0.55499999999999994</v>
      </c>
      <c r="H24" s="5">
        <f t="shared" si="0"/>
        <v>37</v>
      </c>
    </row>
    <row r="25" spans="1:8" x14ac:dyDescent="0.25">
      <c r="A25" s="5">
        <v>24</v>
      </c>
      <c r="B25" s="5" t="s">
        <v>25</v>
      </c>
      <c r="C25" s="5">
        <v>0.25909090909090909</v>
      </c>
      <c r="D25" s="5">
        <v>0.22499999999999998</v>
      </c>
      <c r="E25" s="5">
        <v>0.15000000000000002</v>
      </c>
      <c r="F25" s="5">
        <v>0.12</v>
      </c>
      <c r="G25" s="5">
        <v>0.75409090909090903</v>
      </c>
      <c r="H25" s="5">
        <f t="shared" si="0"/>
        <v>6</v>
      </c>
    </row>
    <row r="26" spans="1:8" x14ac:dyDescent="0.25">
      <c r="A26" s="5">
        <v>25</v>
      </c>
      <c r="B26" s="5" t="s">
        <v>26</v>
      </c>
      <c r="C26" s="5">
        <v>0.12954545454545455</v>
      </c>
      <c r="D26" s="5">
        <v>0.22499999999999998</v>
      </c>
      <c r="E26" s="5">
        <v>0.15000000000000002</v>
      </c>
      <c r="F26" s="5">
        <v>0.12</v>
      </c>
      <c r="G26" s="5">
        <v>0.62454545454545451</v>
      </c>
      <c r="H26" s="5">
        <f t="shared" si="0"/>
        <v>28</v>
      </c>
    </row>
    <row r="27" spans="1:8" x14ac:dyDescent="0.25">
      <c r="A27" s="5">
        <v>26</v>
      </c>
      <c r="B27" s="5" t="s">
        <v>27</v>
      </c>
      <c r="C27" s="5">
        <v>5.5882352941176473E-2</v>
      </c>
      <c r="D27" s="5">
        <v>0.22499999999999998</v>
      </c>
      <c r="E27" s="5">
        <v>0.15000000000000002</v>
      </c>
      <c r="F27" s="5">
        <v>0.12</v>
      </c>
      <c r="G27" s="5">
        <v>0.55088235294117649</v>
      </c>
      <c r="H27" s="5">
        <f t="shared" si="0"/>
        <v>39</v>
      </c>
    </row>
    <row r="28" spans="1:8" x14ac:dyDescent="0.25">
      <c r="A28" s="5">
        <v>27</v>
      </c>
      <c r="B28" s="5" t="s">
        <v>28</v>
      </c>
      <c r="C28" s="5">
        <v>0.3</v>
      </c>
      <c r="D28" s="5">
        <v>0.22499999999999998</v>
      </c>
      <c r="E28" s="5">
        <v>0.15000000000000002</v>
      </c>
      <c r="F28" s="5">
        <v>0.12</v>
      </c>
      <c r="G28" s="5">
        <v>0.79499999999999993</v>
      </c>
      <c r="H28" s="5">
        <f t="shared" si="0"/>
        <v>4</v>
      </c>
    </row>
    <row r="29" spans="1:8" x14ac:dyDescent="0.25">
      <c r="A29" s="5">
        <v>28</v>
      </c>
      <c r="B29" s="5" t="s">
        <v>29</v>
      </c>
      <c r="C29" s="5">
        <v>7.8082191780821916E-2</v>
      </c>
      <c r="D29" s="5">
        <v>0.22499999999999998</v>
      </c>
      <c r="E29" s="5">
        <v>0.15000000000000002</v>
      </c>
      <c r="F29" s="5">
        <v>0.12</v>
      </c>
      <c r="G29" s="5">
        <v>0.57308219178082198</v>
      </c>
      <c r="H29" s="5">
        <f t="shared" si="0"/>
        <v>35</v>
      </c>
    </row>
    <row r="30" spans="1:8" x14ac:dyDescent="0.25">
      <c r="A30" s="5">
        <v>29</v>
      </c>
      <c r="B30" s="5" t="s">
        <v>30</v>
      </c>
      <c r="C30" s="5">
        <v>0.18999999999999997</v>
      </c>
      <c r="D30" s="5">
        <v>0.15</v>
      </c>
      <c r="E30" s="5">
        <v>0.15000000000000002</v>
      </c>
      <c r="F30" s="5">
        <v>0.2</v>
      </c>
      <c r="G30" s="5">
        <v>0.69</v>
      </c>
      <c r="H30" s="5">
        <f t="shared" si="0"/>
        <v>17</v>
      </c>
    </row>
    <row r="31" spans="1:8" x14ac:dyDescent="0.25">
      <c r="A31" s="5">
        <v>30</v>
      </c>
      <c r="B31" s="5" t="s">
        <v>31</v>
      </c>
      <c r="C31" s="5">
        <v>0.16285714285714284</v>
      </c>
      <c r="D31" s="5">
        <v>0.22499999999999998</v>
      </c>
      <c r="E31" s="5">
        <v>0.15000000000000002</v>
      </c>
      <c r="F31" s="5">
        <v>0.12</v>
      </c>
      <c r="G31" s="5">
        <v>0.65785714285714281</v>
      </c>
      <c r="H31" s="5">
        <f t="shared" si="0"/>
        <v>23</v>
      </c>
    </row>
    <row r="32" spans="1:8" x14ac:dyDescent="0.25">
      <c r="A32" s="5">
        <v>31</v>
      </c>
      <c r="B32" s="5" t="s">
        <v>32</v>
      </c>
      <c r="C32" s="5">
        <v>0.13255813953488371</v>
      </c>
      <c r="D32" s="5">
        <v>0.15</v>
      </c>
      <c r="E32" s="5">
        <v>0.15000000000000002</v>
      </c>
      <c r="F32" s="5">
        <v>0.2</v>
      </c>
      <c r="G32" s="5">
        <v>0.63255813953488382</v>
      </c>
      <c r="H32" s="5">
        <f t="shared" si="0"/>
        <v>26</v>
      </c>
    </row>
    <row r="33" spans="1:8" x14ac:dyDescent="0.25">
      <c r="A33" s="5">
        <v>32</v>
      </c>
      <c r="B33" s="5" t="s">
        <v>33</v>
      </c>
      <c r="C33" s="5">
        <v>3.3139534883720928E-2</v>
      </c>
      <c r="D33" s="5">
        <v>0.22499999999999998</v>
      </c>
      <c r="E33" s="5">
        <v>0.15000000000000002</v>
      </c>
      <c r="F33" s="5">
        <v>0.12</v>
      </c>
      <c r="G33" s="5">
        <v>0.5281395348837209</v>
      </c>
      <c r="H33" s="5">
        <f t="shared" si="0"/>
        <v>40</v>
      </c>
    </row>
    <row r="34" spans="1:8" x14ac:dyDescent="0.25">
      <c r="A34" s="5">
        <v>33</v>
      </c>
      <c r="B34" s="5" t="s">
        <v>34</v>
      </c>
      <c r="C34" s="5">
        <v>0.11632653061224489</v>
      </c>
      <c r="D34" s="5">
        <v>0.22499999999999998</v>
      </c>
      <c r="E34" s="5">
        <v>0.15000000000000002</v>
      </c>
      <c r="F34" s="5">
        <v>0.12</v>
      </c>
      <c r="G34" s="5">
        <v>0.61132653061224485</v>
      </c>
      <c r="H34" s="5">
        <f t="shared" si="0"/>
        <v>30</v>
      </c>
    </row>
    <row r="35" spans="1:8" x14ac:dyDescent="0.25">
      <c r="A35" s="5">
        <v>34</v>
      </c>
      <c r="B35" s="5" t="s">
        <v>35</v>
      </c>
      <c r="C35" s="5">
        <v>7.9166666666666663E-2</v>
      </c>
      <c r="D35" s="5">
        <v>0.22499999999999998</v>
      </c>
      <c r="E35" s="5">
        <v>0.15000000000000002</v>
      </c>
      <c r="F35" s="5">
        <v>0.12</v>
      </c>
      <c r="G35" s="5">
        <v>0.57416666666666671</v>
      </c>
      <c r="H35" s="5">
        <f t="shared" si="0"/>
        <v>33</v>
      </c>
    </row>
    <row r="36" spans="1:8" x14ac:dyDescent="0.25">
      <c r="A36" s="5">
        <v>35</v>
      </c>
      <c r="B36" s="5" t="s">
        <v>36</v>
      </c>
      <c r="C36" s="5">
        <v>0.23749999999999999</v>
      </c>
      <c r="D36" s="5">
        <v>0.22499999999999998</v>
      </c>
      <c r="E36" s="5">
        <v>0.15000000000000002</v>
      </c>
      <c r="F36" s="5">
        <v>0.12</v>
      </c>
      <c r="G36" s="5">
        <v>0.73250000000000004</v>
      </c>
      <c r="H36" s="5">
        <f t="shared" si="0"/>
        <v>10</v>
      </c>
    </row>
    <row r="37" spans="1:8" x14ac:dyDescent="0.25">
      <c r="A37" s="5">
        <v>36</v>
      </c>
      <c r="B37" s="5" t="s">
        <v>37</v>
      </c>
      <c r="C37" s="5">
        <v>0.1676470588235294</v>
      </c>
      <c r="D37" s="5">
        <v>0.22499999999999998</v>
      </c>
      <c r="E37" s="5">
        <v>0.15000000000000002</v>
      </c>
      <c r="F37" s="5">
        <v>0.12</v>
      </c>
      <c r="G37" s="5">
        <v>0.66264705882352937</v>
      </c>
      <c r="H37" s="5">
        <f t="shared" si="0"/>
        <v>22</v>
      </c>
    </row>
    <row r="38" spans="1:8" x14ac:dyDescent="0.25">
      <c r="A38" s="5">
        <v>37</v>
      </c>
      <c r="B38" s="5" t="s">
        <v>38</v>
      </c>
      <c r="C38" s="5">
        <v>7.8620689655172424E-2</v>
      </c>
      <c r="D38" s="5">
        <v>0.22499999999999998</v>
      </c>
      <c r="E38" s="5">
        <v>0.15000000000000002</v>
      </c>
      <c r="F38" s="5">
        <v>0.12</v>
      </c>
      <c r="G38" s="5">
        <v>0.57362068965517243</v>
      </c>
      <c r="H38" s="5">
        <f t="shared" si="0"/>
        <v>34</v>
      </c>
    </row>
    <row r="39" spans="1:8" x14ac:dyDescent="0.25">
      <c r="A39" s="5">
        <v>38</v>
      </c>
      <c r="B39" s="5" t="s">
        <v>39</v>
      </c>
      <c r="C39" s="5">
        <v>9.1935483870967741E-2</v>
      </c>
      <c r="D39" s="5">
        <v>0.22499999999999998</v>
      </c>
      <c r="E39" s="5">
        <v>0.15000000000000002</v>
      </c>
      <c r="F39" s="5">
        <v>0.12</v>
      </c>
      <c r="G39" s="5">
        <v>0.58693548387096772</v>
      </c>
      <c r="H39" s="5">
        <f t="shared" si="0"/>
        <v>31</v>
      </c>
    </row>
    <row r="40" spans="1:8" x14ac:dyDescent="0.25">
      <c r="A40" s="5">
        <v>39</v>
      </c>
      <c r="B40" s="5" t="s">
        <v>40</v>
      </c>
      <c r="C40" s="5">
        <v>0.13255813953488371</v>
      </c>
      <c r="D40" s="5">
        <v>0.22499999999999998</v>
      </c>
      <c r="E40" s="5">
        <v>0.15000000000000002</v>
      </c>
      <c r="F40" s="5">
        <v>0.12</v>
      </c>
      <c r="G40" s="5">
        <v>0.62755813953488371</v>
      </c>
      <c r="H40" s="5">
        <f t="shared" si="0"/>
        <v>27</v>
      </c>
    </row>
    <row r="41" spans="1:8" x14ac:dyDescent="0.25">
      <c r="A41" s="5">
        <v>40</v>
      </c>
      <c r="B41" s="5" t="s">
        <v>41</v>
      </c>
      <c r="C41" s="5">
        <v>0.23265306122448978</v>
      </c>
      <c r="D41" s="5">
        <v>0.22499999999999998</v>
      </c>
      <c r="E41" s="5">
        <v>0.15000000000000002</v>
      </c>
      <c r="F41" s="5">
        <v>0.12</v>
      </c>
      <c r="G41" s="5">
        <v>0.72765306122448981</v>
      </c>
      <c r="H41" s="5">
        <f t="shared" si="0"/>
        <v>11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2E4F-788C-479D-94B7-6021BDD90AFA}">
  <dimension ref="A1:C41"/>
  <sheetViews>
    <sheetView workbookViewId="0">
      <selection activeCell="E2" sqref="E2"/>
    </sheetView>
  </sheetViews>
  <sheetFormatPr defaultRowHeight="15.75" x14ac:dyDescent="0.25"/>
  <cols>
    <col min="1" max="1" width="35.42578125" style="9" customWidth="1"/>
    <col min="2" max="2" width="22.85546875" style="9" customWidth="1"/>
    <col min="3" max="3" width="17.85546875" style="9" customWidth="1"/>
    <col min="4" max="4" width="9.140625" style="9"/>
    <col min="5" max="5" width="31.85546875" style="9" customWidth="1"/>
    <col min="6" max="6" width="22.42578125" style="9" customWidth="1"/>
    <col min="7" max="7" width="17.42578125" style="9" customWidth="1"/>
    <col min="8" max="16384" width="9.140625" style="9"/>
  </cols>
  <sheetData>
    <row r="1" spans="1:3" ht="16.5" thickBot="1" x14ac:dyDescent="0.3">
      <c r="A1" s="1" t="s">
        <v>1</v>
      </c>
      <c r="B1" s="2" t="s">
        <v>72</v>
      </c>
      <c r="C1" s="2" t="s">
        <v>73</v>
      </c>
    </row>
    <row r="2" spans="1:3" ht="16.5" thickBot="1" x14ac:dyDescent="0.3">
      <c r="A2" s="3" t="s">
        <v>13</v>
      </c>
      <c r="B2" s="4">
        <v>0.85750000000000004</v>
      </c>
      <c r="C2" s="4">
        <v>1</v>
      </c>
    </row>
    <row r="3" spans="1:3" ht="16.5" thickBot="1" x14ac:dyDescent="0.3">
      <c r="A3" s="3" t="s">
        <v>16</v>
      </c>
      <c r="B3" s="4">
        <v>0.81642857099999999</v>
      </c>
      <c r="C3" s="4">
        <v>2</v>
      </c>
    </row>
    <row r="4" spans="1:3" ht="16.5" thickBot="1" x14ac:dyDescent="0.3">
      <c r="A4" s="3" t="s">
        <v>19</v>
      </c>
      <c r="B4" s="4">
        <v>0.80409090900000002</v>
      </c>
      <c r="C4" s="4">
        <v>3</v>
      </c>
    </row>
    <row r="5" spans="1:3" ht="16.5" thickBot="1" x14ac:dyDescent="0.3">
      <c r="A5" s="3" t="s">
        <v>28</v>
      </c>
      <c r="B5" s="4">
        <v>0.79500000000000004</v>
      </c>
      <c r="C5" s="4">
        <v>4</v>
      </c>
    </row>
    <row r="6" spans="1:3" ht="16.5" thickBot="1" x14ac:dyDescent="0.3">
      <c r="A6" s="3" t="s">
        <v>5</v>
      </c>
      <c r="B6" s="4">
        <v>0.78</v>
      </c>
      <c r="C6" s="4">
        <v>5</v>
      </c>
    </row>
    <row r="7" spans="1:3" ht="16.5" thickBot="1" x14ac:dyDescent="0.3">
      <c r="A7" s="3" t="s">
        <v>25</v>
      </c>
      <c r="B7" s="4">
        <v>0.75409090899999998</v>
      </c>
      <c r="C7" s="4">
        <v>6</v>
      </c>
    </row>
    <row r="8" spans="1:3" ht="16.5" thickBot="1" x14ac:dyDescent="0.3">
      <c r="A8" s="3" t="s">
        <v>22</v>
      </c>
      <c r="B8" s="4">
        <v>0.75409090899999998</v>
      </c>
      <c r="C8" s="4">
        <v>6</v>
      </c>
    </row>
    <row r="9" spans="1:3" ht="16.5" thickBot="1" x14ac:dyDescent="0.3">
      <c r="A9" s="3" t="s">
        <v>12</v>
      </c>
      <c r="B9" s="4">
        <v>0.74812500000000004</v>
      </c>
      <c r="C9" s="4">
        <v>7</v>
      </c>
    </row>
    <row r="10" spans="1:3" ht="16.5" thickBot="1" x14ac:dyDescent="0.3">
      <c r="A10" s="3" t="s">
        <v>6</v>
      </c>
      <c r="B10" s="4">
        <v>0.74282608699999997</v>
      </c>
      <c r="C10" s="4">
        <v>8</v>
      </c>
    </row>
    <row r="11" spans="1:3" ht="16.5" thickBot="1" x14ac:dyDescent="0.3">
      <c r="A11" s="3" t="s">
        <v>36</v>
      </c>
      <c r="B11" s="4">
        <v>0.73250000000000004</v>
      </c>
      <c r="C11" s="4">
        <v>9</v>
      </c>
    </row>
    <row r="12" spans="1:3" ht="16.5" thickBot="1" x14ac:dyDescent="0.3">
      <c r="A12" s="3" t="s">
        <v>41</v>
      </c>
      <c r="B12" s="4">
        <v>0.72765306100000005</v>
      </c>
      <c r="C12" s="4">
        <v>10</v>
      </c>
    </row>
    <row r="13" spans="1:3" ht="16.5" thickBot="1" x14ac:dyDescent="0.3">
      <c r="A13" s="3" t="s">
        <v>10</v>
      </c>
      <c r="B13" s="4">
        <v>0.72363636399999998</v>
      </c>
      <c r="C13" s="4">
        <v>11</v>
      </c>
    </row>
    <row r="14" spans="1:3" ht="16.5" thickBot="1" x14ac:dyDescent="0.3">
      <c r="A14" s="3" t="s">
        <v>17</v>
      </c>
      <c r="B14" s="4">
        <v>0.72299999999999998</v>
      </c>
      <c r="C14" s="4">
        <v>12</v>
      </c>
    </row>
    <row r="15" spans="1:3" ht="16.5" thickBot="1" x14ac:dyDescent="0.3">
      <c r="A15" s="3" t="s">
        <v>18</v>
      </c>
      <c r="B15" s="4">
        <v>0.72299999999999998</v>
      </c>
      <c r="C15" s="4">
        <v>12</v>
      </c>
    </row>
    <row r="16" spans="1:3" ht="16.5" thickBot="1" x14ac:dyDescent="0.3">
      <c r="A16" s="3" t="s">
        <v>4</v>
      </c>
      <c r="B16" s="4">
        <v>0.72299999999999998</v>
      </c>
      <c r="C16" s="4">
        <v>12</v>
      </c>
    </row>
    <row r="17" spans="1:3" ht="16.5" thickBot="1" x14ac:dyDescent="0.3">
      <c r="A17" s="3" t="s">
        <v>11</v>
      </c>
      <c r="B17" s="4">
        <v>0.71193548399999995</v>
      </c>
      <c r="C17" s="4">
        <v>13</v>
      </c>
    </row>
    <row r="18" spans="1:3" ht="16.5" thickBot="1" x14ac:dyDescent="0.3">
      <c r="A18" s="3" t="s">
        <v>30</v>
      </c>
      <c r="B18" s="4">
        <v>0.69</v>
      </c>
      <c r="C18" s="4">
        <v>14</v>
      </c>
    </row>
    <row r="19" spans="1:3" ht="16.5" thickBot="1" x14ac:dyDescent="0.3">
      <c r="A19" s="3" t="s">
        <v>3</v>
      </c>
      <c r="B19" s="4">
        <v>0.68874999999999997</v>
      </c>
      <c r="C19" s="4">
        <v>15</v>
      </c>
    </row>
    <row r="20" spans="1:3" ht="16.5" thickBot="1" x14ac:dyDescent="0.3">
      <c r="A20" s="3" t="s">
        <v>23</v>
      </c>
      <c r="B20" s="4">
        <v>0.68500000000000005</v>
      </c>
      <c r="C20" s="4">
        <v>16</v>
      </c>
    </row>
    <row r="21" spans="1:3" ht="16.5" thickBot="1" x14ac:dyDescent="0.3">
      <c r="A21" s="3" t="s">
        <v>21</v>
      </c>
      <c r="B21" s="4">
        <v>0.68500000000000005</v>
      </c>
      <c r="C21" s="4">
        <v>16</v>
      </c>
    </row>
    <row r="22" spans="1:3" ht="16.5" thickBot="1" x14ac:dyDescent="0.3">
      <c r="A22" s="3" t="s">
        <v>14</v>
      </c>
      <c r="B22" s="4">
        <v>0.67911764699999999</v>
      </c>
      <c r="C22" s="4">
        <v>17</v>
      </c>
    </row>
    <row r="23" spans="1:3" ht="16.5" thickBot="1" x14ac:dyDescent="0.3">
      <c r="A23" s="3" t="s">
        <v>37</v>
      </c>
      <c r="B23" s="4">
        <v>0.66264705899999998</v>
      </c>
      <c r="C23" s="4">
        <v>18</v>
      </c>
    </row>
    <row r="24" spans="1:3" ht="16.5" thickBot="1" x14ac:dyDescent="0.3">
      <c r="A24" s="3" t="s">
        <v>31</v>
      </c>
      <c r="B24" s="4">
        <v>0.65785714299999998</v>
      </c>
      <c r="C24" s="4">
        <v>19</v>
      </c>
    </row>
    <row r="25" spans="1:3" ht="16.5" thickBot="1" x14ac:dyDescent="0.3">
      <c r="A25" s="3" t="s">
        <v>2</v>
      </c>
      <c r="B25" s="4">
        <v>0.65785714299999998</v>
      </c>
      <c r="C25" s="4">
        <v>19</v>
      </c>
    </row>
    <row r="26" spans="1:3" ht="16.5" thickBot="1" x14ac:dyDescent="0.3">
      <c r="A26" s="3" t="s">
        <v>8</v>
      </c>
      <c r="B26" s="4">
        <v>0.64500000000000002</v>
      </c>
      <c r="C26" s="4">
        <v>20</v>
      </c>
    </row>
    <row r="27" spans="1:3" ht="16.5" thickBot="1" x14ac:dyDescent="0.3">
      <c r="A27" s="3" t="s">
        <v>32</v>
      </c>
      <c r="B27" s="4">
        <v>0.63255813999999999</v>
      </c>
      <c r="C27" s="4">
        <v>21</v>
      </c>
    </row>
    <row r="28" spans="1:3" ht="16.5" thickBot="1" x14ac:dyDescent="0.3">
      <c r="A28" s="3" t="s">
        <v>40</v>
      </c>
      <c r="B28" s="4">
        <v>0.62755813999999999</v>
      </c>
      <c r="C28" s="4">
        <v>22</v>
      </c>
    </row>
    <row r="29" spans="1:3" ht="16.5" thickBot="1" x14ac:dyDescent="0.3">
      <c r="A29" s="3" t="s">
        <v>26</v>
      </c>
      <c r="B29" s="4">
        <v>0.62454545500000003</v>
      </c>
      <c r="C29" s="4">
        <v>23</v>
      </c>
    </row>
    <row r="30" spans="1:3" ht="16.5" thickBot="1" x14ac:dyDescent="0.3">
      <c r="A30" s="3" t="s">
        <v>15</v>
      </c>
      <c r="B30" s="4">
        <v>0.61891304300000005</v>
      </c>
      <c r="C30" s="4">
        <v>24</v>
      </c>
    </row>
    <row r="31" spans="1:3" ht="16.5" thickBot="1" x14ac:dyDescent="0.3">
      <c r="A31" s="3" t="s">
        <v>34</v>
      </c>
      <c r="B31" s="4">
        <v>0.61132653100000001</v>
      </c>
      <c r="C31" s="4">
        <v>25</v>
      </c>
    </row>
    <row r="32" spans="1:3" ht="16.5" thickBot="1" x14ac:dyDescent="0.3">
      <c r="A32" s="3" t="s">
        <v>39</v>
      </c>
      <c r="B32" s="4">
        <v>0.58693548399999995</v>
      </c>
      <c r="C32" s="4">
        <v>26</v>
      </c>
    </row>
    <row r="33" spans="1:3" ht="16.5" thickBot="1" x14ac:dyDescent="0.3">
      <c r="A33" s="3" t="s">
        <v>7</v>
      </c>
      <c r="B33" s="4">
        <v>0.58406250000000004</v>
      </c>
      <c r="C33" s="4">
        <v>27</v>
      </c>
    </row>
    <row r="34" spans="1:3" ht="16.5" thickBot="1" x14ac:dyDescent="0.3">
      <c r="A34" s="3" t="s">
        <v>35</v>
      </c>
      <c r="B34" s="4">
        <v>0.57416666699999996</v>
      </c>
      <c r="C34" s="4">
        <v>28</v>
      </c>
    </row>
    <row r="35" spans="1:3" ht="16.5" thickBot="1" x14ac:dyDescent="0.3">
      <c r="A35" s="3" t="s">
        <v>38</v>
      </c>
      <c r="B35" s="4">
        <v>0.57362069000000004</v>
      </c>
      <c r="C35" s="4">
        <v>29</v>
      </c>
    </row>
    <row r="36" spans="1:3" ht="16.5" thickBot="1" x14ac:dyDescent="0.3">
      <c r="A36" s="3" t="s">
        <v>29</v>
      </c>
      <c r="B36" s="4">
        <v>0.57308219199999999</v>
      </c>
      <c r="C36" s="4">
        <v>30</v>
      </c>
    </row>
    <row r="37" spans="1:3" ht="16.5" thickBot="1" x14ac:dyDescent="0.3">
      <c r="A37" s="3" t="s">
        <v>9</v>
      </c>
      <c r="B37" s="4">
        <v>0.57099999999999995</v>
      </c>
      <c r="C37" s="4">
        <v>31</v>
      </c>
    </row>
    <row r="38" spans="1:3" ht="16.5" thickBot="1" x14ac:dyDescent="0.3">
      <c r="A38" s="3" t="s">
        <v>24</v>
      </c>
      <c r="B38" s="4">
        <v>0.55500000000000005</v>
      </c>
      <c r="C38" s="4">
        <v>32</v>
      </c>
    </row>
    <row r="39" spans="1:3" ht="16.5" thickBot="1" x14ac:dyDescent="0.3">
      <c r="A39" s="3" t="s">
        <v>20</v>
      </c>
      <c r="B39" s="4">
        <v>0.55437499999999995</v>
      </c>
      <c r="C39" s="4">
        <v>33</v>
      </c>
    </row>
    <row r="40" spans="1:3" ht="16.5" thickBot="1" x14ac:dyDescent="0.3">
      <c r="A40" s="3" t="s">
        <v>27</v>
      </c>
      <c r="B40" s="4">
        <v>0.55088235299999999</v>
      </c>
      <c r="C40" s="4">
        <v>34</v>
      </c>
    </row>
    <row r="41" spans="1:3" ht="16.5" thickBot="1" x14ac:dyDescent="0.3">
      <c r="A41" s="3" t="s">
        <v>33</v>
      </c>
      <c r="B41" s="4">
        <v>0.52813953499999999</v>
      </c>
      <c r="C41" s="4">
        <v>35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full perhitungan </vt:lpstr>
      <vt:lpstr>Sheet1</vt:lpstr>
      <vt:lpstr>Normalisasi</vt:lpstr>
      <vt:lpstr>Skor Akhir </vt:lpstr>
      <vt:lpstr>Rangking </vt:lpstr>
      <vt:lpstr>'Rangking '!_Hlk227496846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ADVAN</cp:lastModifiedBy>
  <dcterms:created xsi:type="dcterms:W3CDTF">2026-04-11T06:48:02Z</dcterms:created>
  <dcterms:modified xsi:type="dcterms:W3CDTF">2026-06-30T02:28:45Z</dcterms:modified>
</cp:coreProperties>
</file>